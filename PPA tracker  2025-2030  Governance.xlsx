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showInkAnnotation="0" autoCompressPictures="0"/>
  <mc:AlternateContent xmlns:mc="http://schemas.openxmlformats.org/markup-compatibility/2006">
    <mc:Choice Requires="x15">
      <x15ac:absPath xmlns:x15ac="http://schemas.microsoft.com/office/spreadsheetml/2010/11/ac" url="/Users/gusmarty/Downloads/"/>
    </mc:Choice>
  </mc:AlternateContent>
  <xr:revisionPtr revIDLastSave="0" documentId="13_ncr:1_{7CE63342-1406-1147-958F-B0448ADB0B8A}" xr6:coauthVersionLast="47" xr6:coauthVersionMax="47" xr10:uidLastSave="{00000000-0000-0000-0000-000000000000}"/>
  <bookViews>
    <workbookView xWindow="36600" yWindow="-220" windowWidth="30600" windowHeight="17500" tabRatio="500" activeTab="1" xr2:uid="{00000000-000D-0000-FFFF-FFFF00000000}"/>
  </bookViews>
  <sheets>
    <sheet name="PPA tracker summary" sheetId="5" r:id="rId1"/>
    <sheet name="Master Tracker" sheetId="1" r:id="rId2"/>
    <sheet name="Credit tracking notes from Yuvi"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34" i="5" l="1"/>
  <c r="E33" i="5"/>
  <c r="E19" i="5"/>
  <c r="E18" i="5"/>
  <c r="N111" i="1"/>
  <c r="N110" i="1"/>
  <c r="N109" i="1"/>
  <c r="N108" i="1"/>
  <c r="N107" i="1"/>
  <c r="N106" i="1"/>
  <c r="N105" i="1"/>
  <c r="N104" i="1"/>
  <c r="N103" i="1"/>
  <c r="N102" i="1"/>
  <c r="N101" i="1"/>
  <c r="N100" i="1"/>
  <c r="N99" i="1"/>
  <c r="N98" i="1"/>
  <c r="N97" i="1"/>
  <c r="N96" i="1"/>
  <c r="G78" i="1"/>
</calcChain>
</file>

<file path=xl/sharedStrings.xml><?xml version="1.0" encoding="utf-8"?>
<sst xmlns="http://schemas.openxmlformats.org/spreadsheetml/2006/main" count="424" uniqueCount="297">
  <si>
    <t>Key Terms &amp;amp; Dates</t>
  </si>
  <si>
    <t>1. Key terms &amp;amp; dates</t>
  </si>
  <si>
    <t>2. Discount structure</t>
  </si>
  <si>
    <t>3. Spending commitments</t>
  </si>
  <si>
    <t>4. Governance requirements</t>
  </si>
  <si>
    <t>5. Credits Structure</t>
  </si>
  <si>
    <t>6. Regions Definition</t>
  </si>
  <si>
    <t>7. Growth investment thresholds</t>
  </si>
  <si>
    <t>8. Service-specific usage commitments</t>
  </si>
  <si>
    <t>9. Amazon S3 storage commitments</t>
  </si>
  <si>
    <t>10. Graviton Adoption thresholds</t>
  </si>
  <si>
    <t>Sheet 1: Key Terms &amp;amp; Dates</t>
  </si>
  <si>
    <t>Term Details</t>
  </si>
  <si>
    <t>Start Date</t>
  </si>
  <si>
    <t>End Date</t>
  </si>
  <si>
    <t>Contract Period</t>
  </si>
  <si>
    <t>Contract Year 1</t>
  </si>
  <si>
    <t>Contract Year 2</t>
  </si>
  <si>
    <t>Contract Year 3</t>
  </si>
  <si>
    <t>Contract Year 4</t>
  </si>
  <si>
    <t>Contract Year 5</t>
  </si>
  <si>
    <t>Sheet 2: Discount Structure</t>
  </si>
  <si>
    <t>Discount Type</t>
  </si>
  <si>
    <t>Rate</t>
  </si>
  <si>
    <t>Conditions</t>
  </si>
  <si>
    <t>Cross-Service Discount</t>
  </si>
  <si>
    <t>Standard Rate</t>
  </si>
  <si>
    <t>Adjusted Cross-Service Discount</t>
  </si>
  <si>
    <t>Applied if spend requirements not met</t>
  </si>
  <si>
    <t>3Y Compute SP (CMRITD Linux)</t>
  </si>
  <si>
    <t>Service-Specific Regions only</t>
  </si>
  <si>
    <t>Other Compute SP</t>
  </si>
  <si>
    <t>All eligible regions</t>
  </si>
  <si>
    <t>3Y EC2 Instance SP (CMRITD Linux)</t>
  </si>
  <si>
    <t>Other EC2 Instance SP</t>
  </si>
  <si>
    <t>EC2 On-Demand</t>
  </si>
  <si>
    <t>Enterprise Support (Data Transfer)</t>
  </si>
  <si>
    <t>For Data Transfer portion</t>
  </si>
  <si>
    <t>Enterprise Support (Other Services)</t>
  </si>
  <si>
    <t>For all other services</t>
  </si>
  <si>
    <t>Internet Data Transfer Out</t>
  </si>
  <si>
    <t>Various rates from $0.0225 to $0.0513 per GB</t>
  </si>
  <si>
    <t>Region-specific rates</t>
  </si>
  <si>
    <t>Intra-Regional Data Transfer</t>
  </si>
  <si>
    <t>$0.0012 per GB</t>
  </si>
  <si>
    <t>Service-Specific Regions</t>
  </si>
  <si>
    <t>Amazon S3 Standard Storage</t>
  </si>
  <si>
    <t>Various rates from $0.01344 to $0.02368 per GB-month</t>
  </si>
  <si>
    <t>S3 Standard-Infrequent Access</t>
  </si>
  <si>
    <t>Various rates from $0.0080 to $0.0141 per GB-month</t>
  </si>
  <si>
    <t>S3 Intelligent-Tiering (Frequent Access)</t>
  </si>
  <si>
    <t>S3 Intelligent-Tiering (Infrequent Access)</t>
  </si>
  <si>
    <t>Sheet 3: Spending Commitments</t>
  </si>
  <si>
    <t>Year </t>
  </si>
  <si>
    <t>Minimum Commitment</t>
  </si>
  <si>
    <t>Calculation Method</t>
  </si>
  <si>
    <t>Year 1</t>
  </si>
  <si>
    <t>Fixed</t>
  </si>
  <si>
    <t>Year 2</t>
  </si>
  <si>
    <t>Greater of $130M or 90% of Y1 actual</t>
  </si>
  <si>
    <t>Year 3</t>
  </si>
  <si>
    <t>Greater of $110.5M or 85% of Y2 actual</t>
  </si>
  <si>
    <t>Year 4</t>
  </si>
  <si>
    <t>Greater of $110.5M or 85% of Y3 actual</t>
  </si>
  <si>
    <t>Year 5</t>
  </si>
  <si>
    <t>Greater of $110.5M or 85% of Y4 actual</t>
  </si>
  <si>
    <t>Total Commitment</t>
  </si>
  <si>
    <t>Minimum over term</t>
  </si>
  <si>
    <t>Sheet 4: Governance Requirements</t>
  </si>
  <si>
    <t>Requirement</t>
  </si>
  <si>
    <t>Frequency</t>
  </si>
  <si>
    <t>Due Date</t>
  </si>
  <si>
    <t>Owner</t>
  </si>
  <si>
    <t>Consequence of Non-Compliance</t>
  </si>
  <si>
    <t>Attestation authority</t>
  </si>
  <si>
    <t>In-Scope Services Spend (45% minimum)</t>
  </si>
  <si>
    <t>Annual</t>
  </si>
  <si>
    <t>N/A</t>
  </si>
  <si>
    <t>Elastic</t>
  </si>
  <si>
    <t>Adjusted discount rate applies</t>
  </si>
  <si>
    <t>Robert Pascow</t>
  </si>
  <si>
    <t>Spend Attestation</t>
  </si>
  <si>
    <t>January 20th</t>
  </si>
  <si>
    <t>Service Usage Reports</t>
  </si>
  <si>
    <t>Monthly</t>
  </si>
  <si>
    <t>AWS</t>
  </si>
  <si>
    <t>Credit Tracking</t>
  </si>
  <si>
    <t>Reference Case Studies</t>
  </si>
  <si>
    <t>3 during term</t>
  </si>
  <si>
    <t>Within 60 days of request</t>
  </si>
  <si>
    <t>Executive Speaking Engagement</t>
  </si>
  <si>
    <t>As Scheduled</t>
  </si>
  <si>
    <t>Sheet 5: Credits Structure</t>
  </si>
  <si>
    <t>Credit Type</t>
  </si>
  <si>
    <t>Outcome</t>
  </si>
  <si>
    <t>Amount of outcome-based credits</t>
  </si>
  <si>
    <t>Attestation Window</t>
  </si>
  <si>
    <t>Actual Performance</t>
  </si>
  <si>
    <t>Notes</t>
  </si>
  <si>
    <t>Elastic contact</t>
  </si>
  <si>
    <t>Comments</t>
  </si>
  <si>
    <t>Generative AI POC Credits</t>
  </si>
  <si>
    <t>You have successfully completed one or more Proofs of Concept(s) (“POCs”) for the development of use cases based on AWS Generative AI Services and AWS AI Infrastructure (“Generative AI Use Cases”).</t>
  </si>
  <si>
    <t>The equivalent amount of Commitment-Eligible Fees incurred on testing and developing POC tagged to an Eligible Account, up to a maximum of $266,351 per POC, and up to a maximum total amount of $1,897,157.</t>
  </si>
  <si>
    <t>March 1st, 2025 - March 31st, 2028</t>
  </si>
  <si>
    <t>YTD spend (Mar-Oct)
1. MLOps pipeline (SageMaker AI): $55,311.41
2. Elastic AI Assistant (Bedrock): $39,070.45
3. Accelerated Compute (GPU): $3,657.40
Total: $98,039.26</t>
  </si>
  <si>
    <t>Elastic attests when POC completed. AWS checks GenAI services &amp;amp; AI Infrastructure usage in non-production and calculates $ credit amount (max. $266,351 per POC)</t>
  </si>
  <si>
    <t>Serena Chou</t>
  </si>
  <si>
    <t>Generative AI Adoption</t>
  </si>
  <si>
    <t>During the Discount Term, you run your Generative AI Use Cases in your production environment with an aggregate post-Implementation ARR of at least $100,000 during each applicable Contract Year on AWS Generative AI Services and AWS AI Infrastructure.</t>
  </si>
  <si>
    <t>40% of the Post-Implementation ARR on AWS Generative AI Services and AWS AI Infrastructure, up to a maximum amount of $3,051,343.</t>
  </si>
  <si>
    <t>March 1st 2025 - Dec 31st 2029</t>
  </si>
  <si>
    <t>YTD spend (Mar-Oct)
1. MLOps pipeline (SageMaker AI): $1.11
2. Elastic AI Assistant (Bedrock): $52,295.74
3. Accelerated Compute: $84,051.21
Total: $136,348.06</t>
  </si>
  <si>
    <t>Consider purchasing upfront savings plan on for example SageMaker before March 1st 2026</t>
  </si>
  <si>
    <t>Growth Investment</t>
  </si>
  <si>
    <t>Year 1: Threshold 1: Equal to or greater than $142,000,000 and less than $145,000,000.
Year 1: Threshold 2: Equal to or greater than $145,000,000.
Year 2: Threshold 1: Equal to or greater than $147,000,000 and less than $150,000,000.
Year 2: Threshold 2: Equal to or greater than $150,000,000.
Year 3: Threshold 1: Equal to or greater than $150,000,000 and less than $155,000,000.
Year 3: Threshold 2: Equal to or greater than $155,000,000.
Year 4: Threshold 1: Equal to or greater than $155,000,000 and less than $165,000,000.
Year 4: Threshold 2: Equal to or greater than $165,000,000.
Year 5: Threshold 1: Equal to or greater than $125,000,000 and less than $158,250,000.
Year 5: Threshold 2: Equal to or greater than $158,250,000.</t>
  </si>
  <si>
    <t>You are only eligible to receive the Outcome-Based Credits for Threshold 1 or  Threshold 2 and not both.
Year 1: Threshold 1: $166,667
Year 1: Threshold 2: $260,869
Year 2: Threshold 1: $333,333
Year 2: Threshold 2: $391,304
Year 3: Threshold 1: $500,000
Year 3: Threshold 2: $782,609
Year 4: Threshold 1: $500,000
Year 4: Threshold 2: $782,609
Year 5: Threshold 1: $500,000
Year 5: Threshold 2: $782,609</t>
  </si>
  <si>
    <t>Year 1: March 1, 2026 to March 31, 2026
Year 2: March 1, 2027 to March 31, 2027
Year 3: March 1, 2028 to March 31, 2028
Year 4: March 1, 2029 to March 31, 2029
Year 5: December 1, 2029 to December 31, 2029</t>
  </si>
  <si>
    <t>Year 1 YTD (Mar-Oct):
$113,403,602.12 (78.21%)</t>
  </si>
  <si>
    <t>Mariel Mauss</t>
  </si>
  <si>
    <t>Eric Prengel / Robert sign-off / attest</t>
  </si>
  <si>
    <t>New Regions Expansion</t>
  </si>
  <si>
    <t>You have: (i) successfully completed the deployment of ElasticSearch Services in your AWS production environment on one or more New AWS Regions, and: (ii) each New AWS Region has aggregate Post-Implementation ARR of at least $500,000 during each applicable Contract Year on Services.</t>
  </si>
  <si>
    <t>$250,000 per deployment on a New AWS Region, and up to a maximum amount of $1,000,000.</t>
  </si>
  <si>
    <t>March 1, 2025 to December 31, 2029</t>
  </si>
  <si>
    <t>Regions AWS is aware of: ESC (European Sovereign Cloud), KSA. Other regions in scope?</t>
  </si>
  <si>
    <t>Yuvi Gupta</t>
  </si>
  <si>
    <t>Evaluate definition within same region, e.g. GovCloud FedRamp High / IL5</t>
  </si>
  <si>
    <t>Serverless Innovation</t>
  </si>
  <si>
    <t>You have: (i) successfully completed the testing and deployment of ElasticSearch Serverless Services using Services in a New Elastic Serverless Region</t>
  </si>
  <si>
    <t>The amount of Commitment-Eligible Fees incurred on testing and deploying the ElasticSearch Serverless Services using Services in a New Elastic Serverless Region, under an Eligible Account, up to $233,333 per POC, and up to a total amount of $2,100,000.</t>
  </si>
  <si>
    <t>(Mar-Oct ’25)
London: $50,555.47
Tokyo: $148,649.29</t>
  </si>
  <si>
    <t>Regions AWS is aware of: ESC (European Sovereign Cloud), KSA
2) Deployment into production account with Aggregate Post implementation ARR  of 500K+ (3 consecutive months * 4) = 477K in credits 
Note - Elastic can launch Serverless for free in about 9 regions </t>
  </si>
  <si>
    <t>2 regions launched within PPA term - Yuvi to share blog</t>
  </si>
  <si>
    <t>Serverless Modernization</t>
  </si>
  <si>
    <t>You: (i) have successfully completed the deployment of ElasticSearch Serverless Services in a New Elastic Serverless Region in your AWS production environment; and (ii) are running ElasticSearch Serverless Services in each New Elastic Serverless Region with an aggregate Post-Implementation ARR of at least $500,000 during each applicable Contract Year on Services.</t>
  </si>
  <si>
    <t>$477,777 per ElasticSearch Serverless Services deployment in a New Elastic Serverless Region, and up to a total amount of $4,300,000.</t>
  </si>
  <si>
    <t>(Mar-Oct ’25)
London: $245,905.50
Tokyo: $171,391.33</t>
  </si>
  <si>
    <t>Graviton Adoption</t>
  </si>
  <si>
    <t>For a period of 3 consecutive months, incur gross fees for use of AWS Graviton-based EC2 Instances equal to or greater than:
Year 1: ≥45% of total EC2 Gross Fees or $4,000,000 per month
Year 2: ≥50% of total EC2 Gross Fees or $5,000,000
Year 3-4: ≥60% of total EC2 Net Fees or $6,000,000
Year 5: ≥65% of total EC2 Net Fees or $7,000,000</t>
  </si>
  <si>
    <t>Year 1: $1,000,000
Year 2: $1,000,000
Year 3-4: $1,500,000
Year 5: $1,500,000</t>
  </si>
  <si>
    <t>Year 1: March 1, 2025 to March 31, 2026
Year 2: March 1, 2026 to March 31, 2027
Year 3-4: March 1, 2027 to March 31, 2029 
Year 5: March 1, 2027 to December 31, 2029</t>
  </si>
  <si>
    <t xml:space="preserve">Mar '25: $2.86M (43.32%)
Apr '25: $2.8M (42.88%)
May '25: $2.93M (43.35%)
Jun '25: $2.99M (44.15%)
July '25: $3.26M (45%)
Aug '25: $3.2M (45.52%)
Sep '25: $3.37M (46.29%)
Oct '25: $3.61m (47.5%)
</t>
  </si>
  <si>
    <t>On track to hit min. 45% over 3 consecutive months. Attestation approved for $1M, effective 12/11/25</t>
  </si>
  <si>
    <t>Sum Total:</t>
  </si>
  <si>
    <t>Sheet 6: Region Definitions</t>
  </si>
  <si>
    <t>Service Type</t>
  </si>
  <si>
    <t>Eligible Regions</t>
  </si>
  <si>
    <t>EC2, Compute &amp;amp; Instance Savings Plans</t>
  </si>
  <si>
    <t>US East (N. Virginia), US East (Ohio), AWS GovCloud (US-East), US West (Oregon), US West (N. California), AWS GovCloud (US-West), Canada (Central), Europe (Ireland), Europe (Frankfurt), Europe (London), Europe (Milan), Europe (Paris), Europe (Spain), Europe (Stockholm), Europe (Zurich), Israel (Tel-Aviv), Asia Pacific (Hong Kong), Asia Pacific (Mumbai), Asia Pacific (Seoul), Asia Pacific (Singapore), Asia Pacific (Sydney), Asia Pacific (Tokyo), Asia Pacific (Osaka), Middle East (Bahrain), Middle East (Dubai), South America (Sao Paulo), Africa (Cape Town)</t>
  </si>
  <si>
    <t>US East (N. Virginia), US East (Ohio), US West (Oregon), US West (N. California), Canada (Central), Europe (Ireland), Europe (Frankfurt), Europe (London), Europe (Milan), Europe (Paris), Europe (Spain), Europe (Stockholm), Europe (Zurich), Israel (Tel-Aviv), Asia Pacific (Hong Kong), Asia Pacific (Mumbai), Asia Pacific (Seoul), Asia Pacific (Singapore), Asia Pacific (Sydney), Asia Pacific (Tokyo), Asia Pacific (Osaka), Middle East (Bahrain), Middle East (Dubai), South America (Sao Paulo), Africa (Cape Town)</t>
  </si>
  <si>
    <t>US East (N. Virginia), US East (Ohio), US West (N. California), US West (Oregon), Canada (Central), Europe (Ireland), Europe (London), Europe (Stockholm), Europe (Frankfurt), Europe (Paris), Europe (Milan), Europe (Spain), Europe (Zurich), Israel (Tel-Aviv), Africa (Cape Town), Asia Pacific (Hong Kong), Asia Pacific (Mumbai), Asia Pacific (Osaka), Asia Pacific (Seoul), Asia Pacific (Singapore), Asia Pacific (Sydney), Asia Pacific (Tokyo), South America (Sao Paulo)</t>
  </si>
  <si>
    <t>Amazon S3</t>
  </si>
  <si>
    <t>All Eligible Regions where service is generally available</t>
  </si>
  <si>
    <t>Sheet 7: Growth Investment Thresholds</t>
  </si>
  <si>
    <t>Touch Point (Oct ’25)</t>
  </si>
  <si>
    <t>Contract Year</t>
  </si>
  <si>
    <t>Threshold 1</t>
  </si>
  <si>
    <t>Threshold 2</t>
  </si>
  <si>
    <t>Credits - Threshold 1</t>
  </si>
  <si>
    <t>Credits - Threshold 2</t>
  </si>
  <si>
    <t>Actual Spend (March-Oct '25)</t>
  </si>
  <si>
    <t>Percentage vs. Threshold 2</t>
  </si>
  <si>
    <t>≥$142,000,000 and &amp;lt;$145,000,000</t>
  </si>
  <si>
    <t>≥$145,000,000</t>
  </si>
  <si>
    <t>≥$147,000,000 and &amp;lt;$150,000,000</t>
  </si>
  <si>
    <t>≥$150,000,000</t>
  </si>
  <si>
    <t>≥$150,000,000 and &amp;lt;$155,000,000</t>
  </si>
  <si>
    <t>≥$155,000,000</t>
  </si>
  <si>
    <t>≥$155,000,000 and &amp;lt;$165,000,000</t>
  </si>
  <si>
    <t>≥$165,000,000</t>
  </si>
  <si>
    <t>≥$125,000,000 and &amp;lt;$158,250,000</t>
  </si>
  <si>
    <t>≥$158,250,000</t>
  </si>
  <si>
    <t>Sheet 8: Service-Specific Usage Commitments</t>
  </si>
  <si>
    <t>Period</t>
  </si>
  <si>
    <t>Commitment</t>
  </si>
  <si>
    <t>Touch Point (Avg. monthly YTD PB Mar-Oct ’25)</t>
  </si>
  <si>
    <t>All Contract Years</t>
  </si>
  <si>
    <t>1.5 PB per month</t>
  </si>
  <si>
    <t>3.44 PB</t>
  </si>
  <si>
    <t>219 PB per month</t>
  </si>
  <si>
    <t>321 PB</t>
  </si>
  <si>
    <t>195 PB per month</t>
  </si>
  <si>
    <t>172 PB per month</t>
  </si>
  <si>
    <t>148 PB per month</t>
  </si>
  <si>
    <t>125 PB per month</t>
  </si>
  <si>
    <t>Sheet 9: Amazon S3 Storage Commitments</t>
  </si>
  <si>
    <t>S3 by month</t>
  </si>
  <si>
    <t>Data Transfer Out &amp;amp; Intra-Regional Data Transfer by month</t>
  </si>
  <si>
    <t>Storage Commitment (PB)</t>
  </si>
  <si>
    <t>Actual Usage (PB)</t>
  </si>
  <si>
    <t>Percentage</t>
  </si>
  <si>
    <t>Year 1 period (YTD)</t>
  </si>
  <si>
    <t>Month</t>
  </si>
  <si>
    <t>Data Transfer</t>
  </si>
  <si>
    <t>Usage in PB</t>
  </si>
  <si>
    <t>Commitment in GB</t>
  </si>
  <si>
    <t>Met</t>
  </si>
  <si>
    <t>July 2025</t>
  </si>
  <si>
    <t>Mar</t>
  </si>
  <si>
    <t>Yes</t>
  </si>
  <si>
    <t>Oct 2025</t>
  </si>
  <si>
    <t>Not measured</t>
  </si>
  <si>
    <t>Apr</t>
  </si>
  <si>
    <t>January 2026</t>
  </si>
  <si>
    <t>May</t>
  </si>
  <si>
    <t>Apr 2026</t>
  </si>
  <si>
    <t>Jun</t>
  </si>
  <si>
    <t>July 2026</t>
  </si>
  <si>
    <t>Jul</t>
  </si>
  <si>
    <t>Oct 2026</t>
  </si>
  <si>
    <t>Aug</t>
  </si>
  <si>
    <t>January 2027</t>
  </si>
  <si>
    <t>Sep</t>
  </si>
  <si>
    <t>Apr 2027</t>
  </si>
  <si>
    <t>Oct</t>
  </si>
  <si>
    <t>July 2027</t>
  </si>
  <si>
    <t>Oct 2027</t>
  </si>
  <si>
    <t>January 2028</t>
  </si>
  <si>
    <t>Apr 2028</t>
  </si>
  <si>
    <t>July 2028</t>
  </si>
  <si>
    <t>Oct 2028</t>
  </si>
  <si>
    <t>January 2029</t>
  </si>
  <si>
    <t>Apr 2029</t>
  </si>
  <si>
    <t>July 2029</t>
  </si>
  <si>
    <t>Oct 2029</t>
  </si>
  <si>
    <t>January 2030</t>
  </si>
  <si>
    <t>Sheet 10: Graviton Adoption Thresholds</t>
  </si>
  <si>
    <t>Monthly Graviton-based EC2 Instance Requirement</t>
  </si>
  <si>
    <t>Consecutive Months Required</t>
  </si>
  <si>
    <t>Outcome Completion Deadline</t>
  </si>
  <si>
    <t>Credit Amount</t>
  </si>
  <si>
    <t>Status</t>
  </si>
  <si>
    <t>≥45% of total EC2 Gross Fees or $4,000,000 per month</t>
  </si>
  <si>
    <t xml:space="preserve">
03/01/2025 to 03/31/2026</t>
  </si>
  <si>
    <t>$3.61m (47.5%)</t>
  </si>
  <si>
    <t>Eligible for $1,000,000 to be received 12/01/2025</t>
  </si>
  <si>
    <t>≥50% of total EC2 Gross Fees or $5,000,000 per month</t>
  </si>
  <si>
    <t xml:space="preserve">
03/01/2026 to 03/31/2027</t>
  </si>
  <si>
    <t>Year 3-4</t>
  </si>
  <si>
    <t>≥60% of total EC2 Net Fees or $6,000,000 per month</t>
  </si>
  <si>
    <t xml:space="preserve">
03/01/2027 to 03/31/2029</t>
  </si>
  <si>
    <t>≥65% of total EC2 Net Fees or $7,000,000 per month</t>
  </si>
  <si>
    <t>Credit bucket</t>
  </si>
  <si>
    <t>Action</t>
  </si>
  <si>
    <t>GenAI POC and GenAI adoption credit buckets</t>
  </si>
  <si>
    <t>Agreed to align on cost explorer reporting filter (query) in order to ascertain what is POC (non-production) vs. production. Currently, we've used accounts tagged/named production. Yuvi to confirm.</t>
  </si>
  <si>
    <t>Confirm queries with Yuvi. Confirm with Peter if EBS counts towards AI infrastructure usage.</t>
  </si>
  <si>
    <t>New Region Expansion</t>
  </si>
  <si>
    <t>Confirm with Peter if IL5 and FedRAMP separate infra/logical environments would constitute two new regions.</t>
  </si>
  <si>
    <t>Serverless Modernization &amp;amp; Serverless Adoption</t>
  </si>
  <si>
    <t>No way to split usage by account level as they stand up QA environment, then staging which mirrors a production environment based on existing AWS deployment. As it is self-attestation based, Elastic will split up usage into POC and adoption based on GenAI services and infrastructure usage.</t>
  </si>
  <si>
    <t>Club Serverless modernization and adoption into single bucket for QBR / quarterly credit tracking reporting. Show a single $ number. Look at Ohio and Frankfurt.</t>
  </si>
  <si>
    <t>Time period (Mar-Oct)</t>
  </si>
  <si>
    <t>Detail</t>
  </si>
  <si>
    <t>Spend</t>
  </si>
  <si>
    <t>SageMaker AI</t>
  </si>
  <si>
    <t>Bedrock</t>
  </si>
  <si>
    <t>GPU</t>
  </si>
  <si>
    <t>Performance (Mar-Oct)</t>
  </si>
  <si>
    <t>Growth investment</t>
  </si>
  <si>
    <t>Tier 2: 145,000,000+</t>
  </si>
  <si>
    <t>New Regions Expansion (Hosted)</t>
  </si>
  <si>
    <t>London</t>
  </si>
  <si>
    <t>Tokyo</t>
  </si>
  <si>
    <t>Serverless Modernization (ecmaster)</t>
  </si>
  <si>
    <t>Graviton adoption</t>
  </si>
  <si>
    <t>Aug '25</t>
  </si>
  <si>
    <t>Sep '25</t>
  </si>
  <si>
    <t>Oct ’25</t>
  </si>
  <si>
    <t>S3</t>
  </si>
  <si>
    <t>Time period</t>
  </si>
  <si>
    <t>Commitment (PB)</t>
  </si>
  <si>
    <t>Jul '25</t>
  </si>
  <si>
    <t>Oct '25</t>
  </si>
  <si>
    <t>Data Transfer (Oct)</t>
  </si>
  <si>
    <t>Commitment (PB per month)</t>
  </si>
  <si>
    <t>Actual usage (PB per month)</t>
  </si>
  <si>
    <t>Answer</t>
  </si>
  <si>
    <t>EBS does not count towards AI infra usage</t>
  </si>
  <si>
    <t>Likely to count</t>
  </si>
  <si>
    <t>Total</t>
  </si>
  <si>
    <t>Clubbed Serverless modernization and adoption into single bucket for QBR / quarterly credit tracking reporting. Show a single $ number.</t>
  </si>
  <si>
    <t>Serverless Innovation (R&amp;D)</t>
  </si>
  <si>
    <t>GenAI POC (R&amp;D)</t>
  </si>
  <si>
    <t>GenAI Adoption (ECMASTER)</t>
  </si>
  <si>
    <t>$39,070.45</t>
  </si>
  <si>
    <t>$3,657.40</t>
  </si>
  <si>
    <t>$98,039.26</t>
  </si>
  <si>
    <t>$1.11</t>
  </si>
  <si>
    <t>$52,295.74</t>
  </si>
  <si>
    <t>$84,051.21</t>
  </si>
  <si>
    <t>$136,348.06</t>
  </si>
  <si>
    <t>CREDITS</t>
  </si>
  <si>
    <t>SERVICE USAGE</t>
  </si>
  <si>
    <t>Excluding tax - All amortized
Marketplace Bedrock purchases included (input &amp; output tokens, cache write/read inputs and guardrails)</t>
  </si>
  <si>
    <t>Elastic &amp; AWS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</si>
</sst>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quot;$&quot;#,##0.00"/>
    <numFmt numFmtId="170" formatCode="_-* #,##0_-;\-* #,##0_-;_-* &quot;-&quot;??_-;_-@_-"/>
    <numFmt numFmtId="172" formatCode="&quot;$&quot;#,##0"/>
  </numFmts>
  <fonts count="4" x14ac:knownFonts="1">
    <font>
      <sz val="12"/>
      <color theme="1"/>
      <name val="Calibri"/>
      <family val="2"/>
      <scheme val="minor"/>
    </font>
    <font>
      <b/>
      <sz val="12"/>
      <color theme="1"/>
      <name val="Calibri"/>
      <family val="2"/>
      <scheme val="minor"/>
    </font>
    <font>
      <i/>
      <sz val="12"/>
      <color theme="1"/>
      <name val="Calibri"/>
      <family val="2"/>
      <scheme val="minor"/>
    </font>
    <font>
      <sz val="12"/>
      <color theme="1"/>
      <name val="Calibri"/>
      <family val="2"/>
      <scheme val="minor"/>
    </font>
  </fonts>
  <fills count="7">
    <fill>
      <patternFill patternType="none"/>
    </fill>
    <fill>
      <patternFill patternType="gray125"/>
    </fill>
    <fill>
      <patternFill patternType="solid">
        <fgColor rgb="FFCFE1FC"/>
        <bgColor indexed="64"/>
      </patternFill>
    </fill>
    <fill>
      <patternFill patternType="solid">
        <fgColor rgb="FFF2F2F2"/>
        <bgColor indexed="64"/>
      </patternFill>
    </fill>
    <fill>
      <patternFill patternType="solid">
        <fgColor rgb="FFE6E6E6"/>
        <bgColor indexed="64"/>
      </patternFill>
    </fill>
    <fill>
      <patternFill patternType="solid">
        <fgColor rgb="FFD7F7D4"/>
        <bgColor indexed="64"/>
      </patternFill>
    </fill>
    <fill>
      <patternFill patternType="solid">
        <fgColor rgb="FFFFEFCC"/>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72">
    <xf numFmtId="0" fontId="0" fillId="0" borderId="0" xfId="0" applyAlignment="1">
      <alignment wrapText="1"/>
    </xf>
    <xf numFmtId="0" fontId="1" fillId="0" borderId="0" xfId="0" applyFont="1" applyAlignment="1">
      <alignment vertical="center" wrapText="1"/>
    </xf>
    <xf numFmtId="0" fontId="0" fillId="2" borderId="0" xfId="0" applyFill="1" applyAlignment="1">
      <alignment vertical="center" wrapText="1"/>
    </xf>
    <xf numFmtId="0" fontId="0" fillId="3" borderId="0" xfId="0" applyFill="1" applyAlignment="1">
      <alignment vertical="center" wrapText="1"/>
    </xf>
    <xf numFmtId="14" fontId="0" fillId="3" borderId="0" xfId="0" applyNumberFormat="1" applyFill="1" applyAlignment="1">
      <alignment vertical="center" wrapText="1"/>
    </xf>
    <xf numFmtId="0" fontId="0" fillId="2" borderId="0" xfId="0" applyFill="1" applyAlignment="1">
      <alignment horizontal="left" vertical="center" wrapText="1"/>
    </xf>
    <xf numFmtId="0" fontId="0" fillId="2" borderId="0" xfId="0" applyFill="1" applyAlignment="1">
      <alignment horizontal="center" vertical="center" wrapText="1"/>
    </xf>
    <xf numFmtId="0" fontId="0" fillId="3" borderId="0" xfId="0" applyFill="1" applyAlignment="1">
      <alignment horizontal="left" vertical="center" wrapText="1"/>
    </xf>
    <xf numFmtId="10" fontId="0" fillId="3" borderId="0" xfId="0" applyNumberFormat="1" applyFill="1" applyAlignment="1">
      <alignment horizontal="center" vertical="center" wrapText="1"/>
    </xf>
    <xf numFmtId="164" fontId="0" fillId="3" borderId="0" xfId="0" applyNumberFormat="1" applyFill="1" applyAlignment="1">
      <alignment horizontal="center" vertical="center" wrapText="1"/>
    </xf>
    <xf numFmtId="0" fontId="0" fillId="3" borderId="0" xfId="0" applyFill="1" applyAlignment="1">
      <alignment horizontal="center" vertical="center" wrapText="1"/>
    </xf>
    <xf numFmtId="0" fontId="1" fillId="0" borderId="0" xfId="0" applyFont="1" applyAlignment="1">
      <alignment horizontal="right" vertical="center" wrapText="1"/>
    </xf>
    <xf numFmtId="164" fontId="1" fillId="0" borderId="0" xfId="0" applyNumberFormat="1" applyFont="1" applyAlignment="1">
      <alignment horizontal="center" vertical="center" wrapText="1"/>
    </xf>
    <xf numFmtId="0" fontId="0" fillId="4" borderId="0" xfId="0" applyFill="1" applyAlignment="1">
      <alignment horizontal="left" vertical="center" wrapText="1"/>
    </xf>
    <xf numFmtId="0" fontId="0" fillId="4" borderId="0" xfId="0" applyFill="1" applyAlignment="1">
      <alignment horizontal="center" vertical="center" wrapText="1"/>
    </xf>
    <xf numFmtId="0" fontId="1" fillId="2" borderId="0" xfId="0" applyFont="1" applyFill="1" applyAlignment="1">
      <alignment horizontal="left" vertical="center" wrapText="1"/>
    </xf>
    <xf numFmtId="4" fontId="0" fillId="3" borderId="0" xfId="0" applyNumberFormat="1" applyFill="1" applyAlignment="1">
      <alignment horizontal="left" vertical="center" wrapText="1"/>
    </xf>
    <xf numFmtId="10" fontId="0" fillId="3" borderId="0" xfId="0" applyNumberFormat="1" applyFill="1" applyAlignment="1">
      <alignment horizontal="left" vertical="center" wrapText="1"/>
    </xf>
    <xf numFmtId="0" fontId="2" fillId="3" borderId="0" xfId="0" applyFont="1" applyFill="1" applyAlignment="1">
      <alignment horizontal="left" vertical="center" wrapText="1"/>
    </xf>
    <xf numFmtId="0" fontId="2" fillId="3" borderId="0" xfId="0" applyFont="1" applyFill="1" applyAlignment="1">
      <alignment horizontal="center" vertical="center" wrapText="1"/>
    </xf>
    <xf numFmtId="0" fontId="2" fillId="3" borderId="0" xfId="0" applyFont="1" applyFill="1" applyAlignment="1">
      <alignment vertical="center" wrapText="1"/>
    </xf>
    <xf numFmtId="14" fontId="0" fillId="3" borderId="0" xfId="0" applyNumberFormat="1" applyFill="1" applyAlignment="1">
      <alignment horizontal="center" vertical="center" wrapText="1"/>
    </xf>
    <xf numFmtId="0" fontId="1" fillId="0" borderId="0" xfId="0" applyFont="1" applyAlignment="1">
      <alignment vertical="center" wrapText="1"/>
    </xf>
    <xf numFmtId="0" fontId="0" fillId="0" borderId="0" xfId="0" applyAlignment="1">
      <alignment wrapText="1"/>
    </xf>
    <xf numFmtId="0" fontId="0" fillId="2" borderId="0" xfId="0" applyFill="1" applyAlignment="1">
      <alignment vertical="center" wrapText="1"/>
    </xf>
    <xf numFmtId="0" fontId="0" fillId="3" borderId="0" xfId="0" applyFill="1" applyAlignment="1">
      <alignment vertical="center" wrapText="1"/>
    </xf>
    <xf numFmtId="0" fontId="0" fillId="2" borderId="0" xfId="0" applyFill="1" applyAlignment="1">
      <alignment horizontal="left" vertical="center" wrapText="1"/>
    </xf>
    <xf numFmtId="0" fontId="0" fillId="3" borderId="0" xfId="0" applyFill="1" applyAlignment="1">
      <alignment horizontal="left" vertical="center" wrapText="1"/>
    </xf>
    <xf numFmtId="0" fontId="1" fillId="0" borderId="0" xfId="0" applyFont="1" applyAlignment="1">
      <alignment horizontal="left" vertical="center" wrapText="1"/>
    </xf>
    <xf numFmtId="0" fontId="0" fillId="3" borderId="0" xfId="0" applyFill="1" applyAlignment="1">
      <alignment horizontal="center" vertical="center" wrapText="1"/>
    </xf>
    <xf numFmtId="0" fontId="0" fillId="0" borderId="5" xfId="0" applyBorder="1" applyAlignment="1">
      <alignment wrapText="1"/>
    </xf>
    <xf numFmtId="0" fontId="0" fillId="0" borderId="0" xfId="0" applyBorder="1" applyAlignment="1">
      <alignment wrapText="1"/>
    </xf>
    <xf numFmtId="0" fontId="0" fillId="0" borderId="7" xfId="0" applyBorder="1" applyAlignment="1">
      <alignment wrapText="1"/>
    </xf>
    <xf numFmtId="0" fontId="0" fillId="0" borderId="2" xfId="0" applyBorder="1" applyAlignment="1">
      <alignment wrapText="1"/>
    </xf>
    <xf numFmtId="0" fontId="0" fillId="0" borderId="3" xfId="0" applyBorder="1" applyAlignment="1">
      <alignment horizontal="center" vertical="center" wrapText="1"/>
    </xf>
    <xf numFmtId="10" fontId="0" fillId="5" borderId="4" xfId="0" applyNumberFormat="1" applyFill="1" applyBorder="1" applyAlignment="1">
      <alignment horizontal="center" vertical="center" wrapText="1"/>
    </xf>
    <xf numFmtId="0" fontId="0" fillId="0" borderId="5" xfId="0" applyBorder="1" applyAlignment="1">
      <alignment wrapText="1"/>
    </xf>
    <xf numFmtId="0" fontId="0" fillId="0" borderId="0" xfId="0" applyBorder="1" applyAlignment="1">
      <alignment horizontal="center" vertical="center" wrapText="1"/>
    </xf>
    <xf numFmtId="0" fontId="0" fillId="0" borderId="6" xfId="0" applyBorder="1" applyAlignment="1">
      <alignment wrapText="1"/>
    </xf>
    <xf numFmtId="0" fontId="0" fillId="0" borderId="6" xfId="0" applyBorder="1" applyAlignment="1">
      <alignment horizontal="center" vertical="center" wrapText="1"/>
    </xf>
    <xf numFmtId="10" fontId="0" fillId="6" borderId="6" xfId="0" applyNumberFormat="1" applyFill="1" applyBorder="1" applyAlignment="1">
      <alignment horizontal="center" vertical="center" wrapText="1"/>
    </xf>
    <xf numFmtId="164" fontId="0" fillId="5" borderId="0" xfId="0" applyNumberFormat="1" applyFill="1" applyBorder="1" applyAlignment="1">
      <alignment horizontal="center" vertical="center" wrapText="1"/>
    </xf>
    <xf numFmtId="10" fontId="0" fillId="5" borderId="6" xfId="0" applyNumberFormat="1" applyFill="1" applyBorder="1" applyAlignment="1">
      <alignment horizontal="center" vertical="center" wrapText="1"/>
    </xf>
    <xf numFmtId="0" fontId="0" fillId="0" borderId="8" xfId="0" applyBorder="1" applyAlignment="1">
      <alignment horizontal="center" vertical="center" wrapText="1"/>
    </xf>
    <xf numFmtId="164" fontId="0" fillId="5" borderId="8" xfId="0" applyNumberFormat="1" applyFill="1" applyBorder="1" applyAlignment="1">
      <alignment horizontal="center" vertical="center" wrapText="1"/>
    </xf>
    <xf numFmtId="10" fontId="0" fillId="5" borderId="9" xfId="0" applyNumberFormat="1" applyFill="1" applyBorder="1" applyAlignment="1">
      <alignment horizontal="center"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0" fillId="0" borderId="7" xfId="0" applyBorder="1" applyAlignment="1">
      <alignment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0" fillId="0" borderId="2" xfId="0" applyBorder="1" applyAlignment="1">
      <alignment horizontal="left" vertical="center" wrapText="1"/>
    </xf>
    <xf numFmtId="0" fontId="0" fillId="0" borderId="7" xfId="0" applyBorder="1" applyAlignment="1">
      <alignment horizontal="left" vertical="center" wrapText="1"/>
    </xf>
    <xf numFmtId="9" fontId="0" fillId="5" borderId="6" xfId="0" applyNumberFormat="1" applyFill="1" applyBorder="1" applyAlignment="1">
      <alignment horizontal="center" vertical="center" wrapText="1"/>
    </xf>
    <xf numFmtId="164" fontId="0" fillId="5" borderId="3" xfId="0" applyNumberFormat="1" applyFill="1" applyBorder="1" applyAlignment="1">
      <alignment horizontal="center" vertical="center" wrapText="1"/>
    </xf>
    <xf numFmtId="9" fontId="0" fillId="5" borderId="4" xfId="2" applyFont="1" applyFill="1" applyBorder="1" applyAlignment="1">
      <alignment horizontal="center" vertical="center" wrapText="1"/>
    </xf>
    <xf numFmtId="9" fontId="0" fillId="5" borderId="9" xfId="2" applyFont="1" applyFill="1" applyBorder="1" applyAlignment="1">
      <alignment horizontal="center" vertical="center" wrapText="1"/>
    </xf>
    <xf numFmtId="0" fontId="0" fillId="0" borderId="0" xfId="0" applyAlignment="1">
      <alignment horizontal="left" vertical="top" wrapText="1"/>
    </xf>
    <xf numFmtId="0" fontId="1" fillId="0" borderId="0" xfId="0" applyFont="1" applyAlignment="1">
      <alignment wrapText="1"/>
    </xf>
    <xf numFmtId="0" fontId="0" fillId="0" borderId="1" xfId="0" applyBorder="1" applyAlignment="1">
      <alignment wrapText="1"/>
    </xf>
    <xf numFmtId="170" fontId="0" fillId="5" borderId="3" xfId="1" applyNumberFormat="1" applyFont="1" applyFill="1" applyBorder="1" applyAlignment="1">
      <alignment horizontal="center" vertical="center" wrapText="1"/>
    </xf>
    <xf numFmtId="172" fontId="0" fillId="5" borderId="0" xfId="0" applyNumberFormat="1" applyFill="1" applyBorder="1" applyAlignment="1">
      <alignment horizontal="center" vertical="center" wrapText="1"/>
    </xf>
    <xf numFmtId="172" fontId="0" fillId="5" borderId="8" xfId="0" applyNumberFormat="1" applyFill="1" applyBorder="1" applyAlignment="1">
      <alignment horizontal="center" vertical="center" wrapText="1"/>
    </xf>
    <xf numFmtId="172" fontId="0" fillId="0" borderId="0" xfId="0" applyNumberFormat="1" applyBorder="1" applyAlignment="1">
      <alignment horizontal="center" vertical="center" wrapText="1"/>
    </xf>
    <xf numFmtId="172" fontId="0" fillId="6" borderId="0" xfId="0" applyNumberFormat="1" applyFill="1" applyBorder="1" applyAlignment="1">
      <alignment horizontal="center" vertical="center" wrapText="1"/>
    </xf>
    <xf numFmtId="172" fontId="0" fillId="0" borderId="1" xfId="0" applyNumberFormat="1" applyBorder="1" applyAlignment="1">
      <alignment horizontal="right" vertical="center" wrapText="1"/>
    </xf>
    <xf numFmtId="172" fontId="1" fillId="0" borderId="0" xfId="0" applyNumberFormat="1" applyFont="1" applyAlignment="1">
      <alignment vertical="center" wrapText="1"/>
    </xf>
    <xf numFmtId="0" fontId="0" fillId="0" borderId="2" xfId="0" applyBorder="1" applyAlignment="1">
      <alignment vertical="center" wrapText="1"/>
    </xf>
    <xf numFmtId="0" fontId="0" fillId="0" borderId="5" xfId="0" applyBorder="1" applyAlignment="1">
      <alignment vertical="center" wrapText="1"/>
    </xf>
    <xf numFmtId="0" fontId="0" fillId="0" borderId="7" xfId="0" applyBorder="1" applyAlignment="1">
      <alignment vertical="center" wrapText="1"/>
    </xf>
    <xf numFmtId="172" fontId="1" fillId="0" borderId="0" xfId="0" applyNumberFormat="1" applyFont="1" applyBorder="1" applyAlignment="1">
      <alignment horizontal="right" vertical="center" wrapText="1"/>
    </xf>
  </cellXfs>
  <cellStyles count="3">
    <cellStyle name="Comma" xfId="1" builtinId="3"/>
    <cellStyle name="Normal" xfId="0" builtinId="0"/>
    <cellStyle name="Per cent" xfId="2"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4"/>
  <sheetViews>
    <sheetView showGridLines="0" showRuler="0" workbookViewId="0">
      <selection activeCell="C39" sqref="C39"/>
    </sheetView>
  </sheetViews>
  <sheetFormatPr baseColWidth="10" defaultRowHeight="16" x14ac:dyDescent="0.2"/>
  <cols>
    <col min="1" max="1" width="24.5" customWidth="1"/>
    <col min="2" max="2" width="27" customWidth="1"/>
    <col min="3" max="3" width="22.6640625" customWidth="1"/>
    <col min="4" max="4" width="22.1640625" customWidth="1"/>
    <col min="6" max="6" width="49.1640625" customWidth="1"/>
  </cols>
  <sheetData>
    <row r="1" spans="1:6" ht="17" x14ac:dyDescent="0.2">
      <c r="A1" s="1" t="s">
        <v>293</v>
      </c>
    </row>
    <row r="2" spans="1:6" ht="17" x14ac:dyDescent="0.2">
      <c r="B2" s="1" t="s">
        <v>253</v>
      </c>
      <c r="C2" s="1" t="s">
        <v>254</v>
      </c>
      <c r="D2" s="1" t="s">
        <v>255</v>
      </c>
      <c r="F2" s="1" t="s">
        <v>100</v>
      </c>
    </row>
    <row r="3" spans="1:6" ht="51" x14ac:dyDescent="0.2">
      <c r="B3" s="68" t="s">
        <v>284</v>
      </c>
      <c r="C3" s="60" t="s">
        <v>256</v>
      </c>
      <c r="D3" s="66">
        <v>55311.41</v>
      </c>
      <c r="F3" t="s">
        <v>282</v>
      </c>
    </row>
    <row r="4" spans="1:6" ht="46" customHeight="1" x14ac:dyDescent="0.2">
      <c r="B4" s="69"/>
      <c r="C4" s="60" t="s">
        <v>257</v>
      </c>
      <c r="D4" s="66" t="s">
        <v>286</v>
      </c>
      <c r="F4" t="s">
        <v>295</v>
      </c>
    </row>
    <row r="5" spans="1:6" ht="17" x14ac:dyDescent="0.2">
      <c r="B5" s="70"/>
      <c r="C5" s="60" t="s">
        <v>258</v>
      </c>
      <c r="D5" s="66" t="s">
        <v>287</v>
      </c>
    </row>
    <row r="6" spans="1:6" ht="17" x14ac:dyDescent="0.2">
      <c r="C6" s="59" t="s">
        <v>281</v>
      </c>
      <c r="D6" s="71" t="s">
        <v>288</v>
      </c>
    </row>
    <row r="7" spans="1:6" x14ac:dyDescent="0.2">
      <c r="C7" s="59"/>
      <c r="D7" s="67"/>
    </row>
    <row r="8" spans="1:6" ht="17" x14ac:dyDescent="0.2">
      <c r="B8" s="68" t="s">
        <v>285</v>
      </c>
      <c r="C8" s="60" t="s">
        <v>256</v>
      </c>
      <c r="D8" s="66" t="s">
        <v>289</v>
      </c>
    </row>
    <row r="9" spans="1:6" ht="17" x14ac:dyDescent="0.2">
      <c r="B9" s="69"/>
      <c r="C9" s="60" t="s">
        <v>257</v>
      </c>
      <c r="D9" s="66" t="s">
        <v>290</v>
      </c>
    </row>
    <row r="10" spans="1:6" ht="17" x14ac:dyDescent="0.2">
      <c r="B10" s="70"/>
      <c r="C10" s="60" t="s">
        <v>258</v>
      </c>
      <c r="D10" s="66" t="s">
        <v>291</v>
      </c>
    </row>
    <row r="11" spans="1:6" ht="17" x14ac:dyDescent="0.2">
      <c r="C11" s="59" t="s">
        <v>281</v>
      </c>
      <c r="D11" s="71" t="s">
        <v>292</v>
      </c>
    </row>
    <row r="13" spans="1:6" ht="17" x14ac:dyDescent="0.2">
      <c r="D13" s="1" t="s">
        <v>259</v>
      </c>
      <c r="E13" s="1" t="s">
        <v>191</v>
      </c>
    </row>
    <row r="14" spans="1:6" ht="17" x14ac:dyDescent="0.2">
      <c r="B14" s="33" t="s">
        <v>260</v>
      </c>
      <c r="C14" s="34" t="s">
        <v>261</v>
      </c>
      <c r="D14" s="61">
        <v>113403602.12</v>
      </c>
      <c r="E14" s="35">
        <v>0.78209999999999991</v>
      </c>
    </row>
    <row r="15" spans="1:6" ht="34" x14ac:dyDescent="0.2">
      <c r="B15" s="36" t="s">
        <v>262</v>
      </c>
      <c r="C15" s="31"/>
      <c r="D15" s="37" t="s">
        <v>77</v>
      </c>
      <c r="E15" s="38"/>
    </row>
    <row r="16" spans="1:6" ht="17" x14ac:dyDescent="0.2">
      <c r="B16" s="30" t="s">
        <v>283</v>
      </c>
      <c r="C16" s="37" t="s">
        <v>263</v>
      </c>
      <c r="D16" s="64">
        <v>50555.47</v>
      </c>
      <c r="E16" s="39" t="s">
        <v>77</v>
      </c>
    </row>
    <row r="17" spans="1:5" ht="17" x14ac:dyDescent="0.2">
      <c r="B17" s="30"/>
      <c r="C17" s="37" t="s">
        <v>264</v>
      </c>
      <c r="D17" s="64">
        <v>148649.29</v>
      </c>
      <c r="E17" s="39" t="s">
        <v>77</v>
      </c>
    </row>
    <row r="18" spans="1:5" ht="17" x14ac:dyDescent="0.2">
      <c r="B18" s="30" t="s">
        <v>265</v>
      </c>
      <c r="C18" s="37" t="s">
        <v>263</v>
      </c>
      <c r="D18" s="65">
        <v>245905.5</v>
      </c>
      <c r="E18" s="40">
        <f>D18/500000</f>
        <v>0.491811</v>
      </c>
    </row>
    <row r="19" spans="1:5" ht="17" x14ac:dyDescent="0.2">
      <c r="B19" s="30"/>
      <c r="C19" s="37" t="s">
        <v>264</v>
      </c>
      <c r="D19" s="65">
        <v>171391.33</v>
      </c>
      <c r="E19" s="40">
        <f>D19/500000</f>
        <v>0.34278265999999996</v>
      </c>
    </row>
    <row r="20" spans="1:5" ht="17" x14ac:dyDescent="0.2">
      <c r="B20" s="30" t="s">
        <v>266</v>
      </c>
      <c r="C20" s="37" t="s">
        <v>267</v>
      </c>
      <c r="D20" s="62">
        <v>3200000</v>
      </c>
      <c r="E20" s="42">
        <v>0.45520000000000005</v>
      </c>
    </row>
    <row r="21" spans="1:5" ht="17" x14ac:dyDescent="0.2">
      <c r="B21" s="30"/>
      <c r="C21" s="37" t="s">
        <v>268</v>
      </c>
      <c r="D21" s="62">
        <v>3370000</v>
      </c>
      <c r="E21" s="42">
        <v>0.46289999999999998</v>
      </c>
    </row>
    <row r="22" spans="1:5" ht="17" x14ac:dyDescent="0.2">
      <c r="B22" s="32"/>
      <c r="C22" s="43" t="s">
        <v>269</v>
      </c>
      <c r="D22" s="63">
        <v>3610000</v>
      </c>
      <c r="E22" s="45">
        <v>0.47500000000000003</v>
      </c>
    </row>
    <row r="25" spans="1:5" ht="17" x14ac:dyDescent="0.2">
      <c r="A25" s="1" t="s">
        <v>294</v>
      </c>
    </row>
    <row r="26" spans="1:5" ht="17" x14ac:dyDescent="0.2">
      <c r="B26" s="1" t="s">
        <v>270</v>
      </c>
    </row>
    <row r="27" spans="1:5" ht="17" x14ac:dyDescent="0.2">
      <c r="B27" s="46" t="s">
        <v>271</v>
      </c>
      <c r="C27" s="47" t="s">
        <v>272</v>
      </c>
      <c r="D27" s="47" t="s">
        <v>190</v>
      </c>
      <c r="E27" s="48" t="s">
        <v>191</v>
      </c>
    </row>
    <row r="28" spans="1:5" ht="17" x14ac:dyDescent="0.2">
      <c r="B28" s="36" t="s">
        <v>273</v>
      </c>
      <c r="C28" s="37">
        <v>99.2</v>
      </c>
      <c r="D28" s="41">
        <v>131.83000000000001</v>
      </c>
      <c r="E28" s="54">
        <v>1.32</v>
      </c>
    </row>
    <row r="29" spans="1:5" ht="17" x14ac:dyDescent="0.2">
      <c r="B29" s="49" t="s">
        <v>274</v>
      </c>
      <c r="C29" s="50" t="s">
        <v>202</v>
      </c>
      <c r="D29" s="50">
        <v>138.26</v>
      </c>
      <c r="E29" s="51" t="s">
        <v>77</v>
      </c>
    </row>
    <row r="31" spans="1:5" ht="17" x14ac:dyDescent="0.2">
      <c r="B31" s="1" t="s">
        <v>275</v>
      </c>
    </row>
    <row r="32" spans="1:5" ht="34" x14ac:dyDescent="0.2">
      <c r="C32" s="1" t="s">
        <v>276</v>
      </c>
      <c r="D32" s="1" t="s">
        <v>277</v>
      </c>
      <c r="E32" s="1" t="s">
        <v>191</v>
      </c>
    </row>
    <row r="33" spans="2:5" ht="17" x14ac:dyDescent="0.2">
      <c r="B33" s="52" t="s">
        <v>40</v>
      </c>
      <c r="C33" s="34">
        <v>1.5</v>
      </c>
      <c r="D33" s="55">
        <v>3.44</v>
      </c>
      <c r="E33" s="56">
        <f>D33/C33</f>
        <v>2.2933333333333334</v>
      </c>
    </row>
    <row r="34" spans="2:5" ht="17" x14ac:dyDescent="0.2">
      <c r="B34" s="53" t="s">
        <v>43</v>
      </c>
      <c r="C34" s="43">
        <v>219</v>
      </c>
      <c r="D34" s="44">
        <v>350.24</v>
      </c>
      <c r="E34" s="57">
        <f>D34/C34</f>
        <v>1.5992694063926942</v>
      </c>
    </row>
  </sheetData>
  <mergeCells count="5">
    <mergeCell ref="B8:B10"/>
    <mergeCell ref="B3:B5"/>
    <mergeCell ref="B16:B17"/>
    <mergeCell ref="B18:B19"/>
    <mergeCell ref="B20:B22"/>
  </mergeCells>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3"/>
  <sheetViews>
    <sheetView tabSelected="1" showRuler="0" topLeftCell="A38" workbookViewId="0">
      <selection activeCell="H63" sqref="H63"/>
    </sheetView>
  </sheetViews>
  <sheetFormatPr baseColWidth="10" defaultRowHeight="16" x14ac:dyDescent="0.2"/>
  <cols>
    <col min="1" max="1" width="19.83203125" customWidth="1"/>
    <col min="2" max="2" width="40.33203125" customWidth="1"/>
    <col min="3" max="3" width="43.5" customWidth="1"/>
    <col min="4" max="4" width="40.6640625" customWidth="1"/>
    <col min="5" max="5" width="28" customWidth="1"/>
    <col min="6" max="6" width="32.6640625" customWidth="1"/>
    <col min="7" max="7" width="23.5" customWidth="1"/>
    <col min="8" max="8" width="28.33203125" customWidth="1"/>
    <col min="9" max="9" width="19.83203125" customWidth="1"/>
    <col min="10" max="10" width="17.83203125" customWidth="1"/>
    <col min="11" max="11" width="19.6640625" customWidth="1"/>
    <col min="12" max="12" width="33" customWidth="1"/>
  </cols>
  <sheetData>
    <row r="1" spans="1:3" ht="34" x14ac:dyDescent="0.2">
      <c r="A1" s="1" t="s">
        <v>0</v>
      </c>
    </row>
    <row r="2" spans="1:3" ht="34" x14ac:dyDescent="0.2">
      <c r="A2" t="s">
        <v>1</v>
      </c>
    </row>
    <row r="3" spans="1:3" ht="17" x14ac:dyDescent="0.2">
      <c r="A3" t="s">
        <v>2</v>
      </c>
    </row>
    <row r="4" spans="1:3" ht="34" x14ac:dyDescent="0.2">
      <c r="A4" t="s">
        <v>3</v>
      </c>
    </row>
    <row r="5" spans="1:3" ht="34" x14ac:dyDescent="0.2">
      <c r="A5" t="s">
        <v>4</v>
      </c>
    </row>
    <row r="6" spans="1:3" ht="17" x14ac:dyDescent="0.2">
      <c r="A6" t="s">
        <v>5</v>
      </c>
    </row>
    <row r="7" spans="1:3" ht="17" x14ac:dyDescent="0.2">
      <c r="A7" t="s">
        <v>6</v>
      </c>
    </row>
    <row r="8" spans="1:3" ht="33" customHeight="1" x14ac:dyDescent="0.2">
      <c r="A8" t="s">
        <v>7</v>
      </c>
    </row>
    <row r="9" spans="1:3" ht="33" customHeight="1" x14ac:dyDescent="0.2">
      <c r="A9" t="s">
        <v>8</v>
      </c>
    </row>
    <row r="10" spans="1:3" ht="33" customHeight="1" x14ac:dyDescent="0.2">
      <c r="A10" t="s">
        <v>9</v>
      </c>
    </row>
    <row r="11" spans="1:3" ht="33" customHeight="1" x14ac:dyDescent="0.2">
      <c r="A11" t="s">
        <v>10</v>
      </c>
    </row>
    <row r="13" spans="1:3" x14ac:dyDescent="0.2">
      <c r="A13" s="22" t="s">
        <v>11</v>
      </c>
      <c r="B13" s="23"/>
      <c r="C13" s="23"/>
    </row>
    <row r="14" spans="1:3" ht="17" x14ac:dyDescent="0.2">
      <c r="A14" s="2" t="s">
        <v>12</v>
      </c>
      <c r="B14" s="2" t="s">
        <v>13</v>
      </c>
      <c r="C14" s="2" t="s">
        <v>14</v>
      </c>
    </row>
    <row r="15" spans="1:3" ht="17" x14ac:dyDescent="0.2">
      <c r="A15" s="3" t="s">
        <v>15</v>
      </c>
      <c r="B15" s="4">
        <v>45717</v>
      </c>
      <c r="C15" s="4">
        <v>47542</v>
      </c>
    </row>
    <row r="16" spans="1:3" ht="17" x14ac:dyDescent="0.2">
      <c r="A16" s="3" t="s">
        <v>16</v>
      </c>
      <c r="B16" s="4">
        <v>45717</v>
      </c>
      <c r="C16" s="4">
        <v>46081</v>
      </c>
    </row>
    <row r="17" spans="1:3" ht="17" x14ac:dyDescent="0.2">
      <c r="A17" s="3" t="s">
        <v>17</v>
      </c>
      <c r="B17" s="4">
        <v>46082</v>
      </c>
      <c r="C17" s="4">
        <v>46446</v>
      </c>
    </row>
    <row r="18" spans="1:3" ht="17" x14ac:dyDescent="0.2">
      <c r="A18" s="3" t="s">
        <v>18</v>
      </c>
      <c r="B18" s="4">
        <v>46447</v>
      </c>
      <c r="C18" s="4">
        <v>46812</v>
      </c>
    </row>
    <row r="19" spans="1:3" ht="17" x14ac:dyDescent="0.2">
      <c r="A19" s="3" t="s">
        <v>19</v>
      </c>
      <c r="B19" s="4">
        <v>46813</v>
      </c>
      <c r="C19" s="4">
        <v>47177</v>
      </c>
    </row>
    <row r="20" spans="1:3" ht="17" x14ac:dyDescent="0.2">
      <c r="A20" s="3" t="s">
        <v>20</v>
      </c>
      <c r="B20" s="4">
        <v>47178</v>
      </c>
      <c r="C20" s="4">
        <v>47542</v>
      </c>
    </row>
    <row r="22" spans="1:3" x14ac:dyDescent="0.2">
      <c r="A22" s="22" t="s">
        <v>21</v>
      </c>
      <c r="B22" s="23"/>
      <c r="C22" s="23"/>
    </row>
    <row r="23" spans="1:3" ht="17" x14ac:dyDescent="0.2">
      <c r="A23" s="5" t="s">
        <v>22</v>
      </c>
      <c r="B23" s="6" t="s">
        <v>23</v>
      </c>
      <c r="C23" s="5" t="s">
        <v>24</v>
      </c>
    </row>
    <row r="24" spans="1:3" ht="17" x14ac:dyDescent="0.2">
      <c r="A24" s="7" t="s">
        <v>25</v>
      </c>
      <c r="B24" s="8">
        <v>0.25</v>
      </c>
      <c r="C24" s="7" t="s">
        <v>26</v>
      </c>
    </row>
    <row r="25" spans="1:3" ht="33" customHeight="1" x14ac:dyDescent="0.2">
      <c r="A25" s="7" t="s">
        <v>27</v>
      </c>
      <c r="B25" s="8">
        <v>0.24</v>
      </c>
      <c r="C25" s="7" t="s">
        <v>28</v>
      </c>
    </row>
    <row r="26" spans="1:3" ht="33" customHeight="1" x14ac:dyDescent="0.2">
      <c r="A26" s="7" t="s">
        <v>29</v>
      </c>
      <c r="B26" s="8">
        <v>0.31</v>
      </c>
      <c r="C26" s="7" t="s">
        <v>30</v>
      </c>
    </row>
    <row r="27" spans="1:3" ht="17" x14ac:dyDescent="0.2">
      <c r="A27" s="7" t="s">
        <v>31</v>
      </c>
      <c r="B27" s="8">
        <v>0.25</v>
      </c>
      <c r="C27" s="7" t="s">
        <v>32</v>
      </c>
    </row>
    <row r="28" spans="1:3" ht="33" customHeight="1" x14ac:dyDescent="0.2">
      <c r="A28" s="7" t="s">
        <v>33</v>
      </c>
      <c r="B28" s="8">
        <v>0.35000000000000003</v>
      </c>
      <c r="C28" s="7" t="s">
        <v>30</v>
      </c>
    </row>
    <row r="29" spans="1:3" ht="17" x14ac:dyDescent="0.2">
      <c r="A29" s="7" t="s">
        <v>34</v>
      </c>
      <c r="B29" s="8">
        <v>0.25</v>
      </c>
      <c r="C29" s="7" t="s">
        <v>32</v>
      </c>
    </row>
    <row r="30" spans="1:3" ht="17" x14ac:dyDescent="0.2">
      <c r="A30" s="7" t="s">
        <v>35</v>
      </c>
      <c r="B30" s="8">
        <v>0.25</v>
      </c>
      <c r="C30" s="7" t="s">
        <v>32</v>
      </c>
    </row>
    <row r="31" spans="1:3" ht="33" customHeight="1" x14ac:dyDescent="0.2">
      <c r="A31" s="7" t="s">
        <v>36</v>
      </c>
      <c r="B31" s="8">
        <v>0.65</v>
      </c>
      <c r="C31" s="7" t="s">
        <v>37</v>
      </c>
    </row>
    <row r="32" spans="1:3" ht="33" customHeight="1" x14ac:dyDescent="0.2">
      <c r="A32" s="7" t="s">
        <v>38</v>
      </c>
      <c r="B32" s="8">
        <v>0.25</v>
      </c>
      <c r="C32" s="7" t="s">
        <v>39</v>
      </c>
    </row>
    <row r="33" spans="1:5" ht="34" x14ac:dyDescent="0.2">
      <c r="A33" s="7" t="s">
        <v>40</v>
      </c>
      <c r="B33" s="7" t="s">
        <v>41</v>
      </c>
      <c r="C33" s="7" t="s">
        <v>42</v>
      </c>
    </row>
    <row r="34" spans="1:5" ht="34" x14ac:dyDescent="0.2">
      <c r="A34" s="7" t="s">
        <v>43</v>
      </c>
      <c r="B34" s="7" t="s">
        <v>44</v>
      </c>
      <c r="C34" s="7" t="s">
        <v>45</v>
      </c>
    </row>
    <row r="35" spans="1:5" ht="33" customHeight="1" x14ac:dyDescent="0.2">
      <c r="A35" s="7" t="s">
        <v>46</v>
      </c>
      <c r="B35" s="7" t="s">
        <v>47</v>
      </c>
      <c r="C35" s="7" t="s">
        <v>42</v>
      </c>
    </row>
    <row r="36" spans="1:5" ht="33" customHeight="1" x14ac:dyDescent="0.2">
      <c r="A36" s="7" t="s">
        <v>48</v>
      </c>
      <c r="B36" s="7" t="s">
        <v>49</v>
      </c>
      <c r="C36" s="7" t="s">
        <v>42</v>
      </c>
    </row>
    <row r="37" spans="1:5" ht="33" customHeight="1" x14ac:dyDescent="0.2">
      <c r="A37" s="7" t="s">
        <v>50</v>
      </c>
      <c r="B37" s="7" t="s">
        <v>47</v>
      </c>
      <c r="C37" s="7" t="s">
        <v>42</v>
      </c>
    </row>
    <row r="38" spans="1:5" ht="33" customHeight="1" x14ac:dyDescent="0.2">
      <c r="A38" s="7" t="s">
        <v>51</v>
      </c>
      <c r="B38" s="7" t="s">
        <v>49</v>
      </c>
      <c r="C38" s="7" t="s">
        <v>42</v>
      </c>
    </row>
    <row r="40" spans="1:5" x14ac:dyDescent="0.2">
      <c r="A40" s="22" t="s">
        <v>52</v>
      </c>
      <c r="B40" s="23"/>
      <c r="C40" s="23"/>
      <c r="D40" s="23"/>
      <c r="E40" s="23"/>
    </row>
    <row r="41" spans="1:5" ht="17" x14ac:dyDescent="0.2">
      <c r="A41" s="2" t="s">
        <v>53</v>
      </c>
      <c r="B41" s="6" t="s">
        <v>54</v>
      </c>
      <c r="C41" s="24" t="s">
        <v>55</v>
      </c>
      <c r="D41" s="23"/>
      <c r="E41" s="23"/>
    </row>
    <row r="42" spans="1:5" ht="17" x14ac:dyDescent="0.2">
      <c r="A42" s="3" t="s">
        <v>56</v>
      </c>
      <c r="B42" s="9">
        <v>130000000</v>
      </c>
      <c r="C42" s="25" t="s">
        <v>57</v>
      </c>
      <c r="D42" s="23"/>
      <c r="E42" s="23"/>
    </row>
    <row r="43" spans="1:5" ht="17" x14ac:dyDescent="0.2">
      <c r="A43" s="3" t="s">
        <v>58</v>
      </c>
      <c r="B43" s="9">
        <v>130000000</v>
      </c>
      <c r="C43" s="25" t="s">
        <v>59</v>
      </c>
      <c r="D43" s="23"/>
      <c r="E43" s="23"/>
    </row>
    <row r="44" spans="1:5" ht="17" x14ac:dyDescent="0.2">
      <c r="A44" s="3" t="s">
        <v>60</v>
      </c>
      <c r="B44" s="9">
        <v>110500000</v>
      </c>
      <c r="C44" s="25" t="s">
        <v>61</v>
      </c>
      <c r="D44" s="23"/>
      <c r="E44" s="23"/>
    </row>
    <row r="45" spans="1:5" ht="17" x14ac:dyDescent="0.2">
      <c r="A45" s="3" t="s">
        <v>62</v>
      </c>
      <c r="B45" s="9">
        <v>110500000</v>
      </c>
      <c r="C45" s="25" t="s">
        <v>63</v>
      </c>
      <c r="D45" s="23"/>
      <c r="E45" s="23"/>
    </row>
    <row r="46" spans="1:5" ht="17" x14ac:dyDescent="0.2">
      <c r="A46" s="3" t="s">
        <v>64</v>
      </c>
      <c r="B46" s="9">
        <v>110500000</v>
      </c>
      <c r="C46" s="25" t="s">
        <v>65</v>
      </c>
      <c r="D46" s="23"/>
      <c r="E46" s="23"/>
    </row>
    <row r="47" spans="1:5" ht="17" x14ac:dyDescent="0.2">
      <c r="A47" s="3" t="s">
        <v>66</v>
      </c>
      <c r="B47" s="9">
        <v>650000000</v>
      </c>
      <c r="C47" s="25" t="s">
        <v>67</v>
      </c>
      <c r="D47" s="23"/>
      <c r="E47" s="23"/>
    </row>
    <row r="49" spans="1:8" x14ac:dyDescent="0.2">
      <c r="A49" s="22" t="s">
        <v>68</v>
      </c>
      <c r="B49" s="23"/>
      <c r="C49" s="23"/>
      <c r="D49" s="23"/>
      <c r="E49" s="23"/>
      <c r="F49" s="23"/>
      <c r="G49" s="23"/>
    </row>
    <row r="50" spans="1:8" ht="34" x14ac:dyDescent="0.2">
      <c r="A50" s="2" t="s">
        <v>69</v>
      </c>
      <c r="B50" s="2" t="s">
        <v>70</v>
      </c>
      <c r="C50" s="2" t="s">
        <v>71</v>
      </c>
      <c r="D50" s="2" t="s">
        <v>72</v>
      </c>
      <c r="E50" s="24" t="s">
        <v>73</v>
      </c>
      <c r="F50" s="23"/>
      <c r="G50" s="23"/>
      <c r="H50" s="2" t="s">
        <v>74</v>
      </c>
    </row>
    <row r="51" spans="1:8" ht="33" customHeight="1" x14ac:dyDescent="0.2">
      <c r="A51" s="3" t="s">
        <v>75</v>
      </c>
      <c r="B51" s="10" t="s">
        <v>76</v>
      </c>
      <c r="C51" s="10" t="s">
        <v>77</v>
      </c>
      <c r="D51" s="3" t="s">
        <v>78</v>
      </c>
      <c r="E51" s="25" t="s">
        <v>79</v>
      </c>
      <c r="F51" s="23"/>
      <c r="G51" s="23"/>
      <c r="H51" s="3" t="s">
        <v>80</v>
      </c>
    </row>
    <row r="52" spans="1:8" ht="17" x14ac:dyDescent="0.2">
      <c r="A52" s="3" t="s">
        <v>81</v>
      </c>
      <c r="B52" s="10" t="s">
        <v>76</v>
      </c>
      <c r="C52" s="10" t="s">
        <v>82</v>
      </c>
      <c r="D52" s="3" t="s">
        <v>78</v>
      </c>
      <c r="E52" s="25" t="s">
        <v>79</v>
      </c>
      <c r="F52" s="23"/>
      <c r="G52" s="23"/>
      <c r="H52" s="3"/>
    </row>
    <row r="53" spans="1:8" ht="17" x14ac:dyDescent="0.2">
      <c r="A53" s="3" t="s">
        <v>83</v>
      </c>
      <c r="B53" s="10" t="s">
        <v>84</v>
      </c>
      <c r="C53" s="10" t="s">
        <v>77</v>
      </c>
      <c r="D53" s="3" t="s">
        <v>85</v>
      </c>
      <c r="E53" s="25" t="s">
        <v>77</v>
      </c>
      <c r="F53" s="23"/>
      <c r="G53" s="23"/>
      <c r="H53" s="3"/>
    </row>
    <row r="54" spans="1:8" ht="17" x14ac:dyDescent="0.2">
      <c r="A54" s="3" t="s">
        <v>86</v>
      </c>
      <c r="B54" s="10" t="s">
        <v>84</v>
      </c>
      <c r="C54" s="10" t="s">
        <v>77</v>
      </c>
      <c r="D54" s="3" t="s">
        <v>296</v>
      </c>
      <c r="E54" s="25" t="s">
        <v>77</v>
      </c>
      <c r="F54" s="23"/>
      <c r="G54" s="23"/>
      <c r="H54" s="3"/>
    </row>
    <row r="55" spans="1:8" ht="34" x14ac:dyDescent="0.2">
      <c r="A55" s="3" t="s">
        <v>87</v>
      </c>
      <c r="B55" s="10" t="s">
        <v>88</v>
      </c>
      <c r="C55" s="10" t="s">
        <v>89</v>
      </c>
      <c r="D55" s="3" t="s">
        <v>78</v>
      </c>
      <c r="E55" s="25" t="s">
        <v>77</v>
      </c>
      <c r="F55" s="23"/>
      <c r="G55" s="23"/>
      <c r="H55" s="3"/>
    </row>
    <row r="56" spans="1:8" ht="33" customHeight="1" x14ac:dyDescent="0.2">
      <c r="A56" s="3" t="s">
        <v>90</v>
      </c>
      <c r="B56" s="10" t="s">
        <v>76</v>
      </c>
      <c r="C56" s="10" t="s">
        <v>91</v>
      </c>
      <c r="D56" s="3" t="s">
        <v>78</v>
      </c>
      <c r="E56" s="25" t="s">
        <v>77</v>
      </c>
      <c r="F56" s="23"/>
      <c r="G56" s="23"/>
      <c r="H56" s="3"/>
    </row>
    <row r="58" spans="1:8" x14ac:dyDescent="0.2">
      <c r="A58" s="22" t="s">
        <v>92</v>
      </c>
      <c r="B58" s="23"/>
      <c r="C58" s="23"/>
      <c r="D58" s="23"/>
      <c r="E58" s="23"/>
      <c r="F58" s="23"/>
    </row>
    <row r="59" spans="1:8" ht="17" x14ac:dyDescent="0.2">
      <c r="A59" s="2" t="s">
        <v>93</v>
      </c>
      <c r="B59" s="2" t="s">
        <v>94</v>
      </c>
      <c r="C59" s="2" t="s">
        <v>95</v>
      </c>
      <c r="D59" s="6" t="s">
        <v>96</v>
      </c>
      <c r="E59" s="6" t="s">
        <v>97</v>
      </c>
      <c r="F59" s="6" t="s">
        <v>98</v>
      </c>
      <c r="G59" s="6" t="s">
        <v>99</v>
      </c>
      <c r="H59" s="6" t="s">
        <v>100</v>
      </c>
    </row>
    <row r="60" spans="1:8" ht="163" customHeight="1" x14ac:dyDescent="0.2">
      <c r="A60" s="3" t="s">
        <v>101</v>
      </c>
      <c r="B60" s="3" t="s">
        <v>102</v>
      </c>
      <c r="C60" s="3" t="s">
        <v>103</v>
      </c>
      <c r="D60" s="3" t="s">
        <v>104</v>
      </c>
      <c r="E60" s="10" t="s">
        <v>105</v>
      </c>
      <c r="F60" s="3" t="s">
        <v>106</v>
      </c>
      <c r="G60" s="10" t="s">
        <v>107</v>
      </c>
    </row>
    <row r="61" spans="1:8" ht="204" x14ac:dyDescent="0.2">
      <c r="A61" s="3" t="s">
        <v>108</v>
      </c>
      <c r="B61" s="3" t="s">
        <v>109</v>
      </c>
      <c r="C61" s="3" t="s">
        <v>110</v>
      </c>
      <c r="D61" s="3" t="s">
        <v>111</v>
      </c>
      <c r="E61" s="10" t="s">
        <v>112</v>
      </c>
      <c r="F61" s="3" t="s">
        <v>113</v>
      </c>
      <c r="G61" s="10" t="s">
        <v>107</v>
      </c>
    </row>
    <row r="62" spans="1:8" ht="319" customHeight="1" x14ac:dyDescent="0.2">
      <c r="A62" s="3" t="s">
        <v>114</v>
      </c>
      <c r="B62" s="3" t="s">
        <v>115</v>
      </c>
      <c r="C62" s="3" t="s">
        <v>116</v>
      </c>
      <c r="D62" s="3" t="s">
        <v>117</v>
      </c>
      <c r="E62" s="10" t="s">
        <v>118</v>
      </c>
      <c r="F62" s="3"/>
      <c r="G62" s="10" t="s">
        <v>119</v>
      </c>
      <c r="H62" t="s">
        <v>120</v>
      </c>
    </row>
    <row r="63" spans="1:8" ht="85" customHeight="1" x14ac:dyDescent="0.2">
      <c r="A63" s="3" t="s">
        <v>121</v>
      </c>
      <c r="B63" s="3" t="s">
        <v>122</v>
      </c>
      <c r="C63" s="3" t="s">
        <v>123</v>
      </c>
      <c r="D63" s="3" t="s">
        <v>124</v>
      </c>
      <c r="E63" s="10" t="s">
        <v>77</v>
      </c>
      <c r="F63" s="3" t="s">
        <v>125</v>
      </c>
      <c r="G63" s="10" t="s">
        <v>126</v>
      </c>
      <c r="H63" t="s">
        <v>127</v>
      </c>
    </row>
    <row r="64" spans="1:8" ht="247" customHeight="1" x14ac:dyDescent="0.2">
      <c r="A64" s="3" t="s">
        <v>128</v>
      </c>
      <c r="B64" s="3" t="s">
        <v>129</v>
      </c>
      <c r="C64" s="3" t="s">
        <v>130</v>
      </c>
      <c r="D64" s="3" t="s">
        <v>124</v>
      </c>
      <c r="E64" s="10" t="s">
        <v>131</v>
      </c>
      <c r="F64" s="3" t="s">
        <v>132</v>
      </c>
      <c r="G64" s="10" t="s">
        <v>126</v>
      </c>
      <c r="H64" t="s">
        <v>133</v>
      </c>
    </row>
    <row r="65" spans="1:7" ht="98" customHeight="1" x14ac:dyDescent="0.2">
      <c r="A65" s="3" t="s">
        <v>134</v>
      </c>
      <c r="B65" s="3" t="s">
        <v>135</v>
      </c>
      <c r="C65" s="3" t="s">
        <v>136</v>
      </c>
      <c r="D65" s="3" t="s">
        <v>124</v>
      </c>
      <c r="E65" s="10" t="s">
        <v>137</v>
      </c>
      <c r="F65" s="3"/>
      <c r="G65" s="10" t="s">
        <v>126</v>
      </c>
    </row>
    <row r="66" spans="1:7" ht="202" customHeight="1" x14ac:dyDescent="0.2">
      <c r="A66" s="3" t="s">
        <v>138</v>
      </c>
      <c r="B66" s="3" t="s">
        <v>139</v>
      </c>
      <c r="C66" s="3" t="s">
        <v>140</v>
      </c>
      <c r="D66" s="3" t="s">
        <v>141</v>
      </c>
      <c r="E66" s="10" t="s">
        <v>142</v>
      </c>
      <c r="F66" s="3" t="s">
        <v>143</v>
      </c>
      <c r="G66" s="10" t="s">
        <v>126</v>
      </c>
    </row>
    <row r="67" spans="1:7" ht="17" x14ac:dyDescent="0.2">
      <c r="B67" s="11" t="s">
        <v>144</v>
      </c>
      <c r="C67" s="12">
        <v>20348500</v>
      </c>
    </row>
    <row r="69" spans="1:7" x14ac:dyDescent="0.2">
      <c r="A69" s="22" t="s">
        <v>145</v>
      </c>
      <c r="B69" s="23"/>
      <c r="C69" s="23"/>
      <c r="D69" s="23"/>
      <c r="E69" s="23"/>
      <c r="F69" s="23"/>
    </row>
    <row r="70" spans="1:7" ht="17" x14ac:dyDescent="0.2">
      <c r="A70" s="2" t="s">
        <v>146</v>
      </c>
      <c r="B70" s="26" t="s">
        <v>147</v>
      </c>
      <c r="C70" s="23"/>
      <c r="D70" s="23"/>
      <c r="E70" s="23"/>
      <c r="F70" s="23"/>
    </row>
    <row r="71" spans="1:7" ht="92" customHeight="1" x14ac:dyDescent="0.2">
      <c r="A71" s="3" t="s">
        <v>148</v>
      </c>
      <c r="B71" s="27" t="s">
        <v>149</v>
      </c>
      <c r="C71" s="23"/>
      <c r="D71" s="23"/>
      <c r="E71" s="23"/>
      <c r="F71" s="23"/>
    </row>
    <row r="72" spans="1:7" ht="33" customHeight="1" x14ac:dyDescent="0.2">
      <c r="A72" s="3" t="s">
        <v>43</v>
      </c>
      <c r="B72" s="27" t="s">
        <v>150</v>
      </c>
      <c r="C72" s="23"/>
      <c r="D72" s="23"/>
      <c r="E72" s="23"/>
      <c r="F72" s="23"/>
    </row>
    <row r="73" spans="1:7" ht="33" customHeight="1" x14ac:dyDescent="0.2">
      <c r="A73" s="3" t="s">
        <v>40</v>
      </c>
      <c r="B73" s="27" t="s">
        <v>151</v>
      </c>
      <c r="C73" s="23"/>
      <c r="D73" s="23"/>
      <c r="E73" s="23"/>
      <c r="F73" s="23"/>
    </row>
    <row r="74" spans="1:7" ht="17" x14ac:dyDescent="0.2">
      <c r="A74" s="3" t="s">
        <v>152</v>
      </c>
      <c r="B74" s="27" t="s">
        <v>153</v>
      </c>
      <c r="C74" s="23"/>
      <c r="D74" s="23"/>
      <c r="E74" s="23"/>
      <c r="F74" s="23"/>
    </row>
    <row r="76" spans="1:7" x14ac:dyDescent="0.2">
      <c r="A76" s="22" t="s">
        <v>154</v>
      </c>
      <c r="B76" s="23"/>
      <c r="F76" s="22" t="s">
        <v>155</v>
      </c>
      <c r="G76" s="23"/>
    </row>
    <row r="77" spans="1:7" ht="17" x14ac:dyDescent="0.2">
      <c r="A77" s="5" t="s">
        <v>156</v>
      </c>
      <c r="B77" s="5" t="s">
        <v>157</v>
      </c>
      <c r="C77" s="5" t="s">
        <v>158</v>
      </c>
      <c r="D77" s="6" t="s">
        <v>159</v>
      </c>
      <c r="E77" s="6" t="s">
        <v>160</v>
      </c>
      <c r="F77" s="5" t="s">
        <v>161</v>
      </c>
      <c r="G77" s="5" t="s">
        <v>162</v>
      </c>
    </row>
    <row r="78" spans="1:7" ht="17" x14ac:dyDescent="0.2">
      <c r="A78" s="7" t="s">
        <v>56</v>
      </c>
      <c r="B78" s="7" t="s">
        <v>163</v>
      </c>
      <c r="C78" s="7" t="s">
        <v>164</v>
      </c>
      <c r="D78" s="9">
        <v>166667</v>
      </c>
      <c r="E78" s="9">
        <v>260869</v>
      </c>
      <c r="F78" s="9">
        <v>113400000</v>
      </c>
      <c r="G78" s="8">
        <f>F78/145000000</f>
        <v>0.78206896551724137</v>
      </c>
    </row>
    <row r="79" spans="1:7" ht="17" x14ac:dyDescent="0.2">
      <c r="A79" s="7" t="s">
        <v>58</v>
      </c>
      <c r="B79" s="7" t="s">
        <v>165</v>
      </c>
      <c r="C79" s="7" t="s">
        <v>166</v>
      </c>
      <c r="D79" s="9">
        <v>333333</v>
      </c>
      <c r="E79" s="9">
        <v>391304</v>
      </c>
    </row>
    <row r="80" spans="1:7" ht="17" x14ac:dyDescent="0.2">
      <c r="A80" s="7" t="s">
        <v>60</v>
      </c>
      <c r="B80" s="7" t="s">
        <v>167</v>
      </c>
      <c r="C80" s="7" t="s">
        <v>168</v>
      </c>
      <c r="D80" s="9">
        <v>500000</v>
      </c>
      <c r="E80" s="9">
        <v>782609</v>
      </c>
    </row>
    <row r="81" spans="1:14" ht="17" x14ac:dyDescent="0.2">
      <c r="A81" s="7" t="s">
        <v>62</v>
      </c>
      <c r="B81" s="7" t="s">
        <v>169</v>
      </c>
      <c r="C81" s="7" t="s">
        <v>170</v>
      </c>
      <c r="D81" s="9">
        <v>500000</v>
      </c>
      <c r="E81" s="9">
        <v>782609</v>
      </c>
    </row>
    <row r="82" spans="1:14" ht="17" x14ac:dyDescent="0.2">
      <c r="A82" s="7" t="s">
        <v>64</v>
      </c>
      <c r="B82" s="7" t="s">
        <v>171</v>
      </c>
      <c r="C82" s="7" t="s">
        <v>172</v>
      </c>
      <c r="D82" s="9">
        <v>500000</v>
      </c>
      <c r="E82" s="9">
        <v>782609</v>
      </c>
    </row>
    <row r="83" spans="1:14" ht="17" x14ac:dyDescent="0.2">
      <c r="C83" s="11" t="s">
        <v>144</v>
      </c>
      <c r="D83" s="12">
        <v>2000000</v>
      </c>
      <c r="E83" s="12">
        <v>3000000</v>
      </c>
    </row>
    <row r="85" spans="1:14" x14ac:dyDescent="0.2">
      <c r="A85" s="22" t="s">
        <v>173</v>
      </c>
      <c r="B85" s="23"/>
      <c r="C85" s="23"/>
    </row>
    <row r="86" spans="1:14" ht="34" x14ac:dyDescent="0.2">
      <c r="A86" s="5" t="s">
        <v>146</v>
      </c>
      <c r="B86" s="5" t="s">
        <v>174</v>
      </c>
      <c r="C86" s="5" t="s">
        <v>175</v>
      </c>
      <c r="D86" s="2" t="s">
        <v>176</v>
      </c>
    </row>
    <row r="87" spans="1:14" ht="34" x14ac:dyDescent="0.2">
      <c r="A87" s="13" t="s">
        <v>40</v>
      </c>
      <c r="B87" s="13" t="s">
        <v>177</v>
      </c>
      <c r="C87" s="13" t="s">
        <v>178</v>
      </c>
      <c r="D87" s="14" t="s">
        <v>179</v>
      </c>
    </row>
    <row r="88" spans="1:14" ht="34" x14ac:dyDescent="0.2">
      <c r="A88" s="7" t="s">
        <v>43</v>
      </c>
      <c r="B88" s="7" t="s">
        <v>16</v>
      </c>
      <c r="C88" s="7" t="s">
        <v>180</v>
      </c>
      <c r="D88" s="10" t="s">
        <v>181</v>
      </c>
    </row>
    <row r="89" spans="1:14" ht="34" x14ac:dyDescent="0.2">
      <c r="A89" s="7" t="s">
        <v>43</v>
      </c>
      <c r="B89" s="7" t="s">
        <v>17</v>
      </c>
      <c r="C89" s="7" t="s">
        <v>182</v>
      </c>
      <c r="D89" s="10"/>
    </row>
    <row r="90" spans="1:14" ht="34" x14ac:dyDescent="0.2">
      <c r="A90" s="7" t="s">
        <v>43</v>
      </c>
      <c r="B90" s="7" t="s">
        <v>18</v>
      </c>
      <c r="C90" s="7" t="s">
        <v>183</v>
      </c>
      <c r="D90" s="10"/>
    </row>
    <row r="91" spans="1:14" ht="34" x14ac:dyDescent="0.2">
      <c r="A91" s="7" t="s">
        <v>43</v>
      </c>
      <c r="B91" s="7" t="s">
        <v>19</v>
      </c>
      <c r="C91" s="7" t="s">
        <v>184</v>
      </c>
      <c r="D91" s="10"/>
    </row>
    <row r="92" spans="1:14" ht="34" x14ac:dyDescent="0.2">
      <c r="A92" s="7" t="s">
        <v>43</v>
      </c>
      <c r="B92" s="7" t="s">
        <v>20</v>
      </c>
      <c r="C92" s="7" t="s">
        <v>185</v>
      </c>
      <c r="D92" s="10"/>
    </row>
    <row r="94" spans="1:14" ht="17" x14ac:dyDescent="0.2">
      <c r="A94" s="28" t="s">
        <v>186</v>
      </c>
      <c r="B94" s="23"/>
      <c r="F94" s="1" t="s">
        <v>187</v>
      </c>
      <c r="I94" s="22" t="s">
        <v>188</v>
      </c>
      <c r="J94" s="23"/>
      <c r="K94" s="23"/>
    </row>
    <row r="95" spans="1:14" ht="17" x14ac:dyDescent="0.2">
      <c r="A95" s="5" t="s">
        <v>174</v>
      </c>
      <c r="B95" s="5" t="s">
        <v>189</v>
      </c>
      <c r="C95" s="5" t="s">
        <v>190</v>
      </c>
      <c r="D95" s="5" t="s">
        <v>191</v>
      </c>
      <c r="F95" s="5" t="s">
        <v>192</v>
      </c>
      <c r="G95" s="5" t="s">
        <v>190</v>
      </c>
      <c r="H95" s="1">
        <v>2025</v>
      </c>
      <c r="I95" s="15" t="s">
        <v>193</v>
      </c>
      <c r="J95" s="15" t="s">
        <v>194</v>
      </c>
      <c r="K95" s="15" t="s">
        <v>195</v>
      </c>
      <c r="L95" s="15" t="s">
        <v>196</v>
      </c>
      <c r="M95" s="15" t="s">
        <v>197</v>
      </c>
      <c r="N95" s="15" t="s">
        <v>191</v>
      </c>
    </row>
    <row r="96" spans="1:14" ht="33" customHeight="1" x14ac:dyDescent="0.2">
      <c r="A96" s="7" t="s">
        <v>198</v>
      </c>
      <c r="B96" s="10">
        <v>99.2</v>
      </c>
      <c r="C96" s="10">
        <v>131.83000000000001</v>
      </c>
      <c r="D96" s="8">
        <v>1.32</v>
      </c>
      <c r="F96" s="10" t="s">
        <v>199</v>
      </c>
      <c r="G96" s="10">
        <v>111.9525</v>
      </c>
      <c r="I96" s="29" t="s">
        <v>199</v>
      </c>
      <c r="J96" s="13" t="s">
        <v>40</v>
      </c>
      <c r="K96" s="16">
        <v>3.07</v>
      </c>
      <c r="L96" s="16">
        <v>1.5</v>
      </c>
      <c r="M96" s="7" t="s">
        <v>200</v>
      </c>
      <c r="N96" s="17">
        <f t="shared" ref="N96:N111" si="0">K96/L96</f>
        <v>2.0466666666666664</v>
      </c>
    </row>
    <row r="97" spans="1:14" ht="33" customHeight="1" x14ac:dyDescent="0.2">
      <c r="A97" s="18" t="s">
        <v>201</v>
      </c>
      <c r="B97" s="19" t="s">
        <v>202</v>
      </c>
      <c r="C97" s="10">
        <v>138.26</v>
      </c>
      <c r="D97" s="10" t="s">
        <v>77</v>
      </c>
      <c r="F97" s="19" t="s">
        <v>203</v>
      </c>
      <c r="G97" s="19">
        <v>117.04089999999999</v>
      </c>
      <c r="I97" s="23"/>
      <c r="J97" s="7" t="s">
        <v>43</v>
      </c>
      <c r="K97" s="16">
        <v>299.31</v>
      </c>
      <c r="L97" s="16">
        <v>219</v>
      </c>
      <c r="M97" s="7" t="s">
        <v>200</v>
      </c>
      <c r="N97" s="17">
        <f t="shared" si="0"/>
        <v>1.3667123287671232</v>
      </c>
    </row>
    <row r="98" spans="1:14" ht="33" customHeight="1" x14ac:dyDescent="0.2">
      <c r="A98" s="7" t="s">
        <v>204</v>
      </c>
      <c r="B98" s="10">
        <v>102.2</v>
      </c>
      <c r="F98" s="10" t="s">
        <v>205</v>
      </c>
      <c r="G98" s="10">
        <v>122.4845</v>
      </c>
      <c r="I98" s="29" t="s">
        <v>203</v>
      </c>
      <c r="J98" s="13" t="s">
        <v>40</v>
      </c>
      <c r="K98" s="16">
        <v>3.34</v>
      </c>
      <c r="L98" s="16">
        <v>1.5</v>
      </c>
      <c r="M98" s="7" t="s">
        <v>200</v>
      </c>
      <c r="N98" s="17">
        <f t="shared" si="0"/>
        <v>2.2266666666666666</v>
      </c>
    </row>
    <row r="99" spans="1:14" ht="33" customHeight="1" x14ac:dyDescent="0.2">
      <c r="A99" s="20" t="s">
        <v>206</v>
      </c>
      <c r="B99" s="19" t="s">
        <v>202</v>
      </c>
      <c r="F99" s="19" t="s">
        <v>207</v>
      </c>
      <c r="G99" s="19">
        <v>126.8779</v>
      </c>
      <c r="I99" s="23"/>
      <c r="J99" s="7" t="s">
        <v>43</v>
      </c>
      <c r="K99" s="16">
        <v>306.02</v>
      </c>
      <c r="L99" s="16">
        <v>219</v>
      </c>
      <c r="M99" s="7" t="s">
        <v>200</v>
      </c>
      <c r="N99" s="17">
        <f t="shared" si="0"/>
        <v>1.3973515981735158</v>
      </c>
    </row>
    <row r="100" spans="1:14" ht="33" customHeight="1" x14ac:dyDescent="0.2">
      <c r="A100" s="3" t="s">
        <v>208</v>
      </c>
      <c r="B100" s="10">
        <v>105.3</v>
      </c>
      <c r="F100" s="10" t="s">
        <v>209</v>
      </c>
      <c r="G100" s="10">
        <v>131.8339</v>
      </c>
      <c r="I100" s="29" t="s">
        <v>205</v>
      </c>
      <c r="J100" s="13" t="s">
        <v>40</v>
      </c>
      <c r="K100" s="16">
        <v>3.17</v>
      </c>
      <c r="L100" s="16">
        <v>1.5</v>
      </c>
      <c r="M100" s="7" t="s">
        <v>200</v>
      </c>
      <c r="N100" s="17">
        <f t="shared" si="0"/>
        <v>2.1133333333333333</v>
      </c>
    </row>
    <row r="101" spans="1:14" ht="33" customHeight="1" x14ac:dyDescent="0.2">
      <c r="A101" s="20" t="s">
        <v>210</v>
      </c>
      <c r="B101" s="19" t="s">
        <v>202</v>
      </c>
      <c r="F101" s="10" t="s">
        <v>211</v>
      </c>
      <c r="G101" s="10">
        <v>135.88140000000001</v>
      </c>
      <c r="I101" s="23"/>
      <c r="J101" s="7" t="s">
        <v>43</v>
      </c>
      <c r="K101" s="16">
        <v>320.08</v>
      </c>
      <c r="L101" s="16">
        <v>219</v>
      </c>
      <c r="M101" s="7" t="s">
        <v>200</v>
      </c>
      <c r="N101" s="17">
        <f t="shared" si="0"/>
        <v>1.461552511415525</v>
      </c>
    </row>
    <row r="102" spans="1:14" ht="33" customHeight="1" x14ac:dyDescent="0.2">
      <c r="A102" s="3" t="s">
        <v>212</v>
      </c>
      <c r="B102" s="10">
        <v>108.6</v>
      </c>
      <c r="F102" s="10" t="s">
        <v>213</v>
      </c>
      <c r="G102" s="10">
        <v>137.16300000000001</v>
      </c>
      <c r="I102" s="29" t="s">
        <v>207</v>
      </c>
      <c r="J102" s="13" t="s">
        <v>40</v>
      </c>
      <c r="K102" s="16">
        <v>3.13</v>
      </c>
      <c r="L102" s="16">
        <v>1.5</v>
      </c>
      <c r="M102" s="7" t="s">
        <v>200</v>
      </c>
      <c r="N102" s="17">
        <f t="shared" si="0"/>
        <v>2.0866666666666664</v>
      </c>
    </row>
    <row r="103" spans="1:14" ht="33" customHeight="1" x14ac:dyDescent="0.2">
      <c r="A103" s="20" t="s">
        <v>214</v>
      </c>
      <c r="B103" s="19" t="s">
        <v>202</v>
      </c>
      <c r="F103" s="10" t="s">
        <v>215</v>
      </c>
      <c r="G103" s="10">
        <v>138.26240000000001</v>
      </c>
      <c r="I103" s="23"/>
      <c r="J103" s="7" t="s">
        <v>43</v>
      </c>
      <c r="K103" s="16">
        <v>307.62</v>
      </c>
      <c r="L103" s="16">
        <v>219</v>
      </c>
      <c r="M103" s="7" t="s">
        <v>200</v>
      </c>
      <c r="N103" s="17">
        <f t="shared" si="0"/>
        <v>1.4046575342465755</v>
      </c>
    </row>
    <row r="104" spans="1:14" ht="33" customHeight="1" x14ac:dyDescent="0.2">
      <c r="A104" s="3" t="s">
        <v>216</v>
      </c>
      <c r="B104" s="10">
        <v>111.9</v>
      </c>
      <c r="I104" s="29" t="s">
        <v>209</v>
      </c>
      <c r="J104" s="13" t="s">
        <v>40</v>
      </c>
      <c r="K104" s="16">
        <v>3.36</v>
      </c>
      <c r="L104" s="16">
        <v>1.5</v>
      </c>
      <c r="M104" s="7" t="s">
        <v>200</v>
      </c>
      <c r="N104" s="17">
        <f t="shared" si="0"/>
        <v>2.2399999999999998</v>
      </c>
    </row>
    <row r="105" spans="1:14" ht="33" customHeight="1" x14ac:dyDescent="0.2">
      <c r="A105" s="20" t="s">
        <v>217</v>
      </c>
      <c r="B105" s="19" t="s">
        <v>202</v>
      </c>
      <c r="I105" s="23"/>
      <c r="J105" s="7" t="s">
        <v>43</v>
      </c>
      <c r="K105" s="16">
        <v>334.15</v>
      </c>
      <c r="L105" s="16">
        <v>219</v>
      </c>
      <c r="M105" s="7" t="s">
        <v>200</v>
      </c>
      <c r="N105" s="17">
        <f t="shared" si="0"/>
        <v>1.5257990867579907</v>
      </c>
    </row>
    <row r="106" spans="1:14" ht="33" customHeight="1" x14ac:dyDescent="0.2">
      <c r="A106" s="3" t="s">
        <v>218</v>
      </c>
      <c r="B106" s="10">
        <v>115.3</v>
      </c>
      <c r="I106" s="29" t="s">
        <v>211</v>
      </c>
      <c r="J106" s="13" t="s">
        <v>40</v>
      </c>
      <c r="K106" s="16">
        <v>3.29</v>
      </c>
      <c r="L106" s="16">
        <v>1.5</v>
      </c>
      <c r="M106" s="7" t="s">
        <v>200</v>
      </c>
      <c r="N106" s="17">
        <f t="shared" si="0"/>
        <v>2.1933333333333334</v>
      </c>
    </row>
    <row r="107" spans="1:14" ht="33" customHeight="1" x14ac:dyDescent="0.2">
      <c r="A107" s="20" t="s">
        <v>219</v>
      </c>
      <c r="B107" s="19" t="s">
        <v>202</v>
      </c>
      <c r="I107" s="23"/>
      <c r="J107" s="7" t="s">
        <v>43</v>
      </c>
      <c r="K107" s="16">
        <v>325.8</v>
      </c>
      <c r="L107" s="16">
        <v>219</v>
      </c>
      <c r="M107" s="7" t="s">
        <v>200</v>
      </c>
      <c r="N107" s="17">
        <f t="shared" si="0"/>
        <v>1.4876712328767123</v>
      </c>
    </row>
    <row r="108" spans="1:14" ht="33" customHeight="1" x14ac:dyDescent="0.2">
      <c r="A108" s="3" t="s">
        <v>220</v>
      </c>
      <c r="B108" s="10">
        <v>118.8</v>
      </c>
      <c r="I108" s="29" t="s">
        <v>213</v>
      </c>
      <c r="J108" s="13" t="s">
        <v>40</v>
      </c>
      <c r="K108" s="16">
        <v>3.18</v>
      </c>
      <c r="L108" s="16">
        <v>1.5</v>
      </c>
      <c r="M108" s="7" t="s">
        <v>200</v>
      </c>
      <c r="N108" s="17">
        <f t="shared" si="0"/>
        <v>2.12</v>
      </c>
    </row>
    <row r="109" spans="1:14" ht="33" customHeight="1" x14ac:dyDescent="0.2">
      <c r="A109" s="20" t="s">
        <v>221</v>
      </c>
      <c r="B109" s="19" t="s">
        <v>202</v>
      </c>
      <c r="I109" s="23"/>
      <c r="J109" s="7" t="s">
        <v>43</v>
      </c>
      <c r="K109" s="16">
        <v>324.77999999999997</v>
      </c>
      <c r="L109" s="16">
        <v>219</v>
      </c>
      <c r="M109" s="7" t="s">
        <v>200</v>
      </c>
      <c r="N109" s="17">
        <f t="shared" si="0"/>
        <v>1.4830136986301368</v>
      </c>
    </row>
    <row r="110" spans="1:14" ht="33" customHeight="1" x14ac:dyDescent="0.2">
      <c r="A110" s="3" t="s">
        <v>222</v>
      </c>
      <c r="B110" s="10">
        <v>122.4</v>
      </c>
      <c r="I110" s="29" t="s">
        <v>215</v>
      </c>
      <c r="J110" s="13" t="s">
        <v>40</v>
      </c>
      <c r="K110" s="16">
        <v>3.44</v>
      </c>
      <c r="L110" s="16">
        <v>1.5</v>
      </c>
      <c r="M110" s="7" t="s">
        <v>200</v>
      </c>
      <c r="N110" s="17">
        <f t="shared" si="0"/>
        <v>2.2933333333333334</v>
      </c>
    </row>
    <row r="111" spans="1:14" ht="33" customHeight="1" x14ac:dyDescent="0.2">
      <c r="A111" s="20" t="s">
        <v>223</v>
      </c>
      <c r="B111" s="19" t="s">
        <v>202</v>
      </c>
      <c r="I111" s="23"/>
      <c r="J111" s="7" t="s">
        <v>43</v>
      </c>
      <c r="K111" s="16">
        <v>350.24</v>
      </c>
      <c r="L111" s="16">
        <v>219</v>
      </c>
      <c r="M111" s="7" t="s">
        <v>200</v>
      </c>
      <c r="N111" s="17">
        <f t="shared" si="0"/>
        <v>1.5992694063926942</v>
      </c>
    </row>
    <row r="112" spans="1:14" ht="17" x14ac:dyDescent="0.2">
      <c r="A112" s="3" t="s">
        <v>224</v>
      </c>
      <c r="B112" s="10">
        <v>126.2</v>
      </c>
    </row>
    <row r="113" spans="1:8" ht="17" x14ac:dyDescent="0.2">
      <c r="A113" s="20" t="s">
        <v>225</v>
      </c>
      <c r="B113" s="19" t="s">
        <v>202</v>
      </c>
    </row>
    <row r="114" spans="1:8" ht="17" x14ac:dyDescent="0.2">
      <c r="A114" s="3" t="s">
        <v>226</v>
      </c>
      <c r="B114" s="10">
        <v>130</v>
      </c>
    </row>
    <row r="116" spans="1:8" x14ac:dyDescent="0.2">
      <c r="A116" s="22" t="s">
        <v>227</v>
      </c>
      <c r="B116" s="23"/>
      <c r="C116" s="23"/>
      <c r="D116" s="23"/>
      <c r="E116" s="23"/>
    </row>
    <row r="117" spans="1:8" ht="34" x14ac:dyDescent="0.2">
      <c r="A117" s="2" t="s">
        <v>156</v>
      </c>
      <c r="B117" s="5" t="s">
        <v>228</v>
      </c>
      <c r="C117" s="2" t="s">
        <v>229</v>
      </c>
      <c r="D117" s="2" t="s">
        <v>230</v>
      </c>
      <c r="E117" s="2" t="s">
        <v>96</v>
      </c>
      <c r="F117" s="2" t="s">
        <v>231</v>
      </c>
      <c r="G117" s="2" t="s">
        <v>155</v>
      </c>
      <c r="H117" s="2" t="s">
        <v>232</v>
      </c>
    </row>
    <row r="118" spans="1:8" ht="46" customHeight="1" x14ac:dyDescent="0.2">
      <c r="A118" s="3" t="s">
        <v>56</v>
      </c>
      <c r="B118" s="7" t="s">
        <v>233</v>
      </c>
      <c r="C118" s="10">
        <v>3</v>
      </c>
      <c r="D118" s="21">
        <v>46081</v>
      </c>
      <c r="E118" s="3" t="s">
        <v>234</v>
      </c>
      <c r="F118" s="9">
        <v>1000000</v>
      </c>
      <c r="G118" s="10" t="s">
        <v>235</v>
      </c>
      <c r="H118" s="3" t="s">
        <v>236</v>
      </c>
    </row>
    <row r="119" spans="1:8" ht="33" customHeight="1" x14ac:dyDescent="0.2">
      <c r="A119" s="3" t="s">
        <v>58</v>
      </c>
      <c r="B119" s="10" t="s">
        <v>237</v>
      </c>
      <c r="C119" s="10">
        <v>3</v>
      </c>
      <c r="D119" s="21">
        <v>46446</v>
      </c>
      <c r="E119" s="3" t="s">
        <v>238</v>
      </c>
      <c r="F119" s="9">
        <v>1000000</v>
      </c>
    </row>
    <row r="120" spans="1:8" ht="33" customHeight="1" x14ac:dyDescent="0.2">
      <c r="A120" s="3" t="s">
        <v>239</v>
      </c>
      <c r="B120" s="10" t="s">
        <v>240</v>
      </c>
      <c r="C120" s="10">
        <v>3</v>
      </c>
      <c r="D120" s="21">
        <v>47177</v>
      </c>
      <c r="E120" s="3" t="s">
        <v>241</v>
      </c>
      <c r="F120" s="9">
        <v>1500000</v>
      </c>
    </row>
    <row r="121" spans="1:8" ht="33" customHeight="1" x14ac:dyDescent="0.2">
      <c r="A121" s="3" t="s">
        <v>64</v>
      </c>
      <c r="B121" s="10" t="s">
        <v>242</v>
      </c>
      <c r="C121" s="10">
        <v>3</v>
      </c>
      <c r="D121" s="21">
        <v>47452</v>
      </c>
      <c r="E121" s="3" t="s">
        <v>241</v>
      </c>
      <c r="F121" s="9">
        <v>1500000</v>
      </c>
    </row>
    <row r="122" spans="1:8" ht="17" x14ac:dyDescent="0.2">
      <c r="E122" s="1" t="s">
        <v>144</v>
      </c>
      <c r="F122" s="12">
        <v>5000000</v>
      </c>
    </row>
    <row r="123" spans="1:8" x14ac:dyDescent="0.2">
      <c r="D123" s="23"/>
      <c r="E123" s="23"/>
    </row>
  </sheetData>
  <mergeCells count="40">
    <mergeCell ref="I106:I107"/>
    <mergeCell ref="I108:I109"/>
    <mergeCell ref="I110:I111"/>
    <mergeCell ref="A116:E116"/>
    <mergeCell ref="D123:E123"/>
    <mergeCell ref="I96:I97"/>
    <mergeCell ref="I98:I99"/>
    <mergeCell ref="I100:I101"/>
    <mergeCell ref="I102:I103"/>
    <mergeCell ref="I104:I105"/>
    <mergeCell ref="A76:B76"/>
    <mergeCell ref="F76:G76"/>
    <mergeCell ref="A85:C85"/>
    <mergeCell ref="A94:B94"/>
    <mergeCell ref="I94:K94"/>
    <mergeCell ref="B70:F70"/>
    <mergeCell ref="B71:F71"/>
    <mergeCell ref="B72:F72"/>
    <mergeCell ref="B73:F73"/>
    <mergeCell ref="B74:F74"/>
    <mergeCell ref="E54:G54"/>
    <mergeCell ref="E55:G55"/>
    <mergeCell ref="E56:G56"/>
    <mergeCell ref="A58:F58"/>
    <mergeCell ref="A69:F69"/>
    <mergeCell ref="A49:G49"/>
    <mergeCell ref="E50:G50"/>
    <mergeCell ref="E51:G51"/>
    <mergeCell ref="E52:G52"/>
    <mergeCell ref="E53:G53"/>
    <mergeCell ref="C43:E43"/>
    <mergeCell ref="C44:E44"/>
    <mergeCell ref="C45:E45"/>
    <mergeCell ref="C46:E46"/>
    <mergeCell ref="C47:E47"/>
    <mergeCell ref="A13:C13"/>
    <mergeCell ref="A22:C22"/>
    <mergeCell ref="A40:E40"/>
    <mergeCell ref="C41:E41"/>
    <mergeCell ref="C42:E42"/>
  </mergeCells>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showRuler="0" workbookViewId="0">
      <selection activeCell="B6" sqref="B6"/>
    </sheetView>
  </sheetViews>
  <sheetFormatPr baseColWidth="10" defaultRowHeight="16" x14ac:dyDescent="0.2"/>
  <cols>
    <col min="1" max="1" width="32.83203125" customWidth="1"/>
    <col min="2" max="2" width="54.1640625" customWidth="1"/>
    <col min="3" max="3" width="41.33203125" customWidth="1"/>
    <col min="4" max="4" width="34" customWidth="1"/>
  </cols>
  <sheetData>
    <row r="1" spans="1:4" ht="17" x14ac:dyDescent="0.2">
      <c r="A1" s="59" t="s">
        <v>243</v>
      </c>
      <c r="B1" s="59" t="s">
        <v>100</v>
      </c>
      <c r="C1" s="59" t="s">
        <v>244</v>
      </c>
      <c r="D1" s="59" t="s">
        <v>278</v>
      </c>
    </row>
    <row r="2" spans="1:4" ht="68" x14ac:dyDescent="0.2">
      <c r="A2" s="58" t="s">
        <v>245</v>
      </c>
      <c r="B2" s="58" t="s">
        <v>246</v>
      </c>
      <c r="C2" s="58" t="s">
        <v>247</v>
      </c>
      <c r="D2" s="58" t="s">
        <v>279</v>
      </c>
    </row>
    <row r="3" spans="1:4" ht="85" x14ac:dyDescent="0.2">
      <c r="A3" s="58" t="s">
        <v>248</v>
      </c>
      <c r="B3" s="58"/>
      <c r="C3" s="58" t="s">
        <v>249</v>
      </c>
      <c r="D3" s="58" t="s">
        <v>280</v>
      </c>
    </row>
    <row r="4" spans="1:4" ht="85" x14ac:dyDescent="0.2">
      <c r="A4" s="58" t="s">
        <v>250</v>
      </c>
      <c r="B4" s="58" t="s">
        <v>251</v>
      </c>
      <c r="C4" s="58" t="s">
        <v>252</v>
      </c>
      <c r="D4" s="58"/>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PPA tracker summary</vt:lpstr>
      <vt:lpstr>Master Tracker</vt:lpstr>
      <vt:lpstr>Credit tracking notes from Yuvi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dc:creator>
  <cp:lastModifiedBy>Gustafsson, Martin</cp:lastModifiedBy>
  <dcterms:created xsi:type="dcterms:W3CDTF">2014-09-16T23:14:48Z</dcterms:created>
  <dcterms:modified xsi:type="dcterms:W3CDTF">2025-11-17T14:28:56Z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2025-11-17T12:58:16Z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65013957-31e9-43ad-b0ed-3921a6a2ea03</vt:lpwstr>
  </property>
  <property fmtid="{D5CDD505-2E9C-101B-9397-08002B2CF9AE}" pid="8" name="MSIP_Label_19e68092-05df-4271-8e3e-b2a4c82ba797_ContentBits">
    <vt:lpwstr>0</vt:lpwstr>
  </property>
  <property fmtid="{D5CDD505-2E9C-101B-9397-08002B2CF9AE}" pid="9" name="MSIP_Label_19e68092-05df-4271-8e3e-b2a4c82ba797_Tag">
    <vt:lpwstr>50, 3, 0, 1</vt:lpwstr>
  </property>
</Properties>
</file>